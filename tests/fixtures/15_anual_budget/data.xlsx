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1_{721CC972-6352-4B0A-AEA0-D71F160994C8}" xr6:coauthVersionLast="47" xr6:coauthVersionMax="47" xr10:uidLastSave="{00000000-0000-0000-0000-000000000000}"/>
  <bookViews>
    <workbookView xWindow="-83" yWindow="0" windowWidth="14566" windowHeight="15563" xr2:uid="{7D38B46B-79DC-4C75-90FB-FDA42BA529B8}"/>
  </bookViews>
  <sheets>
    <sheet name="Budget by month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E23" i="4"/>
  <c r="E24" i="4"/>
  <c r="E25" i="4"/>
  <c r="E26" i="4"/>
  <c r="E27" i="4"/>
  <c r="E28" i="4"/>
  <c r="E29" i="4"/>
  <c r="E30" i="4"/>
  <c r="E31" i="4"/>
  <c r="P31" i="4" s="1"/>
  <c r="E32" i="4"/>
  <c r="E33" i="4"/>
  <c r="O33" i="4" s="1"/>
  <c r="E34" i="4"/>
  <c r="E35" i="4"/>
  <c r="E36" i="4"/>
  <c r="E37" i="4"/>
  <c r="E39" i="4" s="1"/>
  <c r="E38" i="4"/>
  <c r="F22" i="4"/>
  <c r="F23" i="4"/>
  <c r="F24" i="4"/>
  <c r="F25" i="4"/>
  <c r="F26" i="4"/>
  <c r="F27" i="4"/>
  <c r="F28" i="4"/>
  <c r="F29" i="4"/>
  <c r="F30" i="4"/>
  <c r="F31" i="4"/>
  <c r="F39" i="4" s="1"/>
  <c r="F32" i="4"/>
  <c r="F33" i="4"/>
  <c r="F34" i="4"/>
  <c r="F35" i="4"/>
  <c r="F36" i="4"/>
  <c r="F37" i="4"/>
  <c r="F38" i="4"/>
  <c r="G22" i="4"/>
  <c r="G23" i="4"/>
  <c r="G24" i="4"/>
  <c r="G25" i="4"/>
  <c r="G26" i="4"/>
  <c r="G27" i="4"/>
  <c r="G28" i="4"/>
  <c r="G29" i="4"/>
  <c r="G30" i="4"/>
  <c r="G39" i="4" s="1"/>
  <c r="G31" i="4"/>
  <c r="G32" i="4"/>
  <c r="G33" i="4"/>
  <c r="G34" i="4"/>
  <c r="G35" i="4"/>
  <c r="G36" i="4"/>
  <c r="G37" i="4"/>
  <c r="G38" i="4"/>
  <c r="H22" i="4"/>
  <c r="P22" i="4" s="1"/>
  <c r="H23" i="4"/>
  <c r="H24" i="4"/>
  <c r="H25" i="4"/>
  <c r="H26" i="4"/>
  <c r="H27" i="4"/>
  <c r="H28" i="4"/>
  <c r="H29" i="4"/>
  <c r="H39" i="4" s="1"/>
  <c r="H30" i="4"/>
  <c r="O30" i="4" s="1"/>
  <c r="H31" i="4"/>
  <c r="H32" i="4"/>
  <c r="H33" i="4"/>
  <c r="H34" i="4"/>
  <c r="H35" i="4"/>
  <c r="H36" i="4"/>
  <c r="H37" i="4"/>
  <c r="H38" i="4"/>
  <c r="O38" i="4" s="1"/>
  <c r="I22" i="4"/>
  <c r="I23" i="4"/>
  <c r="I24" i="4"/>
  <c r="I25" i="4"/>
  <c r="I26" i="4"/>
  <c r="I27" i="4"/>
  <c r="I28" i="4"/>
  <c r="I29" i="4"/>
  <c r="I30" i="4"/>
  <c r="I39" i="4" s="1"/>
  <c r="I31" i="4"/>
  <c r="I32" i="4"/>
  <c r="I33" i="4"/>
  <c r="I34" i="4"/>
  <c r="I35" i="4"/>
  <c r="I36" i="4"/>
  <c r="I37" i="4"/>
  <c r="I38" i="4"/>
  <c r="J22" i="4"/>
  <c r="J23" i="4"/>
  <c r="J24" i="4"/>
  <c r="J25" i="4"/>
  <c r="J26" i="4"/>
  <c r="J27" i="4"/>
  <c r="J28" i="4"/>
  <c r="J29" i="4"/>
  <c r="J39" i="4" s="1"/>
  <c r="J30" i="4"/>
  <c r="J31" i="4"/>
  <c r="J32" i="4"/>
  <c r="J33" i="4"/>
  <c r="J34" i="4"/>
  <c r="J35" i="4"/>
  <c r="J36" i="4"/>
  <c r="J37" i="4"/>
  <c r="J38" i="4"/>
  <c r="K22" i="4"/>
  <c r="O22" i="4" s="1"/>
  <c r="K23" i="4"/>
  <c r="K24" i="4"/>
  <c r="K25" i="4"/>
  <c r="K26" i="4"/>
  <c r="K27" i="4"/>
  <c r="K28" i="4"/>
  <c r="K29" i="4"/>
  <c r="K39" i="4" s="1"/>
  <c r="K30" i="4"/>
  <c r="K31" i="4"/>
  <c r="K32" i="4"/>
  <c r="K33" i="4"/>
  <c r="K34" i="4"/>
  <c r="K35" i="4"/>
  <c r="K36" i="4"/>
  <c r="K37" i="4"/>
  <c r="K38" i="4"/>
  <c r="P38" i="4" s="1"/>
  <c r="L22" i="4"/>
  <c r="L23" i="4"/>
  <c r="L24" i="4"/>
  <c r="L25" i="4"/>
  <c r="L26" i="4"/>
  <c r="L27" i="4"/>
  <c r="L28" i="4"/>
  <c r="L29" i="4"/>
  <c r="L39" i="4" s="1"/>
  <c r="L30" i="4"/>
  <c r="L31" i="4"/>
  <c r="L32" i="4"/>
  <c r="L33" i="4"/>
  <c r="L34" i="4"/>
  <c r="L35" i="4"/>
  <c r="L36" i="4"/>
  <c r="L37" i="4"/>
  <c r="L38" i="4"/>
  <c r="M22" i="4"/>
  <c r="M23" i="4"/>
  <c r="M24" i="4"/>
  <c r="M25" i="4"/>
  <c r="M26" i="4"/>
  <c r="O26" i="4" s="1"/>
  <c r="M27" i="4"/>
  <c r="M28" i="4"/>
  <c r="O28" i="4" s="1"/>
  <c r="M29" i="4"/>
  <c r="M39" i="4" s="1"/>
  <c r="M30" i="4"/>
  <c r="M31" i="4"/>
  <c r="M32" i="4"/>
  <c r="M33" i="4"/>
  <c r="M34" i="4"/>
  <c r="M35" i="4"/>
  <c r="M36" i="4"/>
  <c r="M37" i="4"/>
  <c r="M38" i="4"/>
  <c r="N22" i="4"/>
  <c r="N23" i="4"/>
  <c r="O23" i="4" s="1"/>
  <c r="N24" i="4"/>
  <c r="N25" i="4"/>
  <c r="O25" i="4" s="1"/>
  <c r="N26" i="4"/>
  <c r="N27" i="4"/>
  <c r="N28" i="4"/>
  <c r="P28" i="4" s="1"/>
  <c r="N29" i="4"/>
  <c r="N30" i="4"/>
  <c r="N31" i="4"/>
  <c r="N32" i="4"/>
  <c r="N33" i="4"/>
  <c r="N34" i="4"/>
  <c r="N35" i="4"/>
  <c r="N36" i="4"/>
  <c r="N37" i="4"/>
  <c r="N38" i="4"/>
  <c r="D22" i="4"/>
  <c r="D23" i="4"/>
  <c r="D24" i="4"/>
  <c r="P24" i="4" s="1"/>
  <c r="D25" i="4"/>
  <c r="D26" i="4"/>
  <c r="D27" i="4"/>
  <c r="O27" i="4" s="1"/>
  <c r="D28" i="4"/>
  <c r="D29" i="4"/>
  <c r="D30" i="4"/>
  <c r="D31" i="4"/>
  <c r="D32" i="4"/>
  <c r="D33" i="4"/>
  <c r="D34" i="4"/>
  <c r="D35" i="4"/>
  <c r="D36" i="4"/>
  <c r="D37" i="4"/>
  <c r="D38" i="4"/>
  <c r="N17" i="4"/>
  <c r="M17" i="4"/>
  <c r="L17" i="4"/>
  <c r="K17" i="4"/>
  <c r="J17" i="4"/>
  <c r="I17" i="4"/>
  <c r="H17" i="4"/>
  <c r="G17" i="4"/>
  <c r="F17" i="4"/>
  <c r="E17" i="4"/>
  <c r="D17" i="4"/>
  <c r="N16" i="4"/>
  <c r="M16" i="4"/>
  <c r="L16" i="4"/>
  <c r="K16" i="4"/>
  <c r="K18" i="4" s="1"/>
  <c r="J16" i="4"/>
  <c r="J18" i="4" s="1"/>
  <c r="I16" i="4"/>
  <c r="H16" i="4"/>
  <c r="G16" i="4"/>
  <c r="F16" i="4"/>
  <c r="E16" i="4"/>
  <c r="D16" i="4"/>
  <c r="N15" i="4"/>
  <c r="M15" i="4"/>
  <c r="L15" i="4"/>
  <c r="K15" i="4"/>
  <c r="J15" i="4"/>
  <c r="I15" i="4"/>
  <c r="H15" i="4"/>
  <c r="G15" i="4"/>
  <c r="F15" i="4"/>
  <c r="E15" i="4"/>
  <c r="D15" i="4"/>
  <c r="N14" i="4"/>
  <c r="M14" i="4"/>
  <c r="L14" i="4"/>
  <c r="K14" i="4"/>
  <c r="J14" i="4"/>
  <c r="I14" i="4"/>
  <c r="H14" i="4"/>
  <c r="G14" i="4"/>
  <c r="F14" i="4"/>
  <c r="E14" i="4"/>
  <c r="D14" i="4"/>
  <c r="P23" i="4"/>
  <c r="P25" i="4"/>
  <c r="O31" i="4"/>
  <c r="N39" i="4"/>
  <c r="C39" i="4"/>
  <c r="I18" i="4"/>
  <c r="L18" i="4"/>
  <c r="M18" i="4"/>
  <c r="N18" i="4"/>
  <c r="C18" i="4"/>
  <c r="O37" i="4" l="1"/>
  <c r="P33" i="4"/>
  <c r="P32" i="4"/>
  <c r="P36" i="4"/>
  <c r="O29" i="4"/>
  <c r="O35" i="4"/>
  <c r="P34" i="4"/>
  <c r="D39" i="4"/>
  <c r="O34" i="4"/>
  <c r="P30" i="4"/>
  <c r="O32" i="4"/>
  <c r="O39" i="4" s="1"/>
  <c r="C6" i="4" s="1"/>
  <c r="P37" i="4"/>
  <c r="P29" i="4"/>
  <c r="P35" i="4"/>
  <c r="P27" i="4"/>
  <c r="P26" i="4"/>
  <c r="P39" i="4" s="1"/>
  <c r="O24" i="4"/>
  <c r="O36" i="4"/>
  <c r="F18" i="4"/>
  <c r="E18" i="4"/>
  <c r="O15" i="4" l="1"/>
  <c r="D18" i="4"/>
  <c r="P16" i="4"/>
  <c r="G18" i="4"/>
  <c r="O14" i="4"/>
  <c r="P14" i="4"/>
  <c r="O16" i="4" l="1"/>
  <c r="P15" i="4"/>
  <c r="H18" i="4"/>
  <c r="O17" i="4"/>
  <c r="O18" i="4" s="1"/>
  <c r="C5" i="4" s="1"/>
  <c r="C10" i="4" s="1"/>
  <c r="P17" i="4"/>
  <c r="P18" i="4" s="1"/>
  <c r="C8" i="4" l="1"/>
</calcChain>
</file>

<file path=xl/sharedStrings.xml><?xml version="1.0" encoding="utf-8"?>
<sst xmlns="http://schemas.openxmlformats.org/spreadsheetml/2006/main" count="61" uniqueCount="43">
  <si>
    <t>ANNUAL BUDGET</t>
  </si>
  <si>
    <t>SUMMARY</t>
  </si>
  <si>
    <t>Total monthly income</t>
  </si>
  <si>
    <t>Total monthly expenses</t>
  </si>
  <si>
    <t>BALANCE</t>
  </si>
  <si>
    <t>PERCENTAGE OF INCOME SPENT</t>
  </si>
  <si>
    <t>INCOME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</si>
  <si>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</si>
  <si>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</si>
  <si>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</si>
  <si>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</si>
  <si>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</si>
  <si>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</si>
  <si>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</si>
  <si>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</si>
  <si>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</si>
  <si>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</si>
  <si>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</si>
  <si>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</si>
  <si>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</si>
  <si>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</si>
  <si>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Average</t>
  </si>
  <si>
    <t>Income 1</t>
  </si>
  <si>
    <t>Income 2</t>
  </si>
  <si>
    <t>Income 3</t>
  </si>
  <si>
    <t>Other</t>
  </si>
  <si>
    <t>EXPENSES</t>
  </si>
  <si>
    <t>Children</t>
  </si>
  <si>
    <t>Debt</t>
  </si>
  <si>
    <t>Dining</t>
  </si>
  <si>
    <t>Education</t>
  </si>
  <si>
    <t>Entertainment</t>
  </si>
  <si>
    <t>Groceries</t>
  </si>
  <si>
    <t>Gifts</t>
  </si>
  <si>
    <t>Health</t>
  </si>
  <si>
    <t>Home</t>
  </si>
  <si>
    <t>Insurance</t>
  </si>
  <si>
    <t>Pets</t>
  </si>
  <si>
    <t>Shopping</t>
  </si>
  <si>
    <t>Technology</t>
  </si>
  <si>
    <t>Transportation</t>
  </si>
  <si>
    <t>Travel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</si>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</sst>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19" x14ac:knownFonts="1">
    <font>
      <sz val="11"/>
      <color theme="1"/>
      <name val="Century Gothic"/>
      <family val="2"/>
      <scheme val="minor"/>
    </font>
    <font>
      <sz val="11"/>
      <color theme="1"/>
      <name val="Aptos"/>
      <family val="2"/>
    </font>
    <font>
      <sz val="10"/>
      <color theme="1" tint="4.9989318521683403E-2"/>
      <name val="Century Gothic"/>
      <family val="1"/>
      <scheme val="minor"/>
    </font>
    <font>
      <sz val="11"/>
      <color theme="1" tint="4.9989318521683403E-2"/>
      <name val="Aptos"/>
      <family val="2"/>
    </font>
    <font>
      <b/>
      <sz val="11"/>
      <color theme="0"/>
      <name val="Century Gothic"/>
      <family val="1"/>
      <scheme val="major"/>
    </font>
    <font>
      <sz val="11"/>
      <name val="Century Gothic"/>
      <family val="2"/>
      <scheme val="minor"/>
    </font>
    <font>
      <b/>
      <sz val="14"/>
      <color theme="1" tint="4.9989318521683403E-2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32"/>
      <color theme="0"/>
      <name val="Century Gothic"/>
      <family val="1"/>
      <scheme val="major"/>
    </font>
    <font>
      <sz val="11"/>
      <color theme="1"/>
      <name val="Century Gothic"/>
      <family val="1"/>
      <scheme val="minor"/>
    </font>
    <font>
      <sz val="32"/>
      <color theme="1"/>
      <name val="Century Gothic"/>
      <family val="1"/>
      <scheme val="minor"/>
    </font>
    <font>
      <b/>
      <sz val="16"/>
      <color theme="1"/>
      <name val="Century Gothic"/>
      <family val="1"/>
      <scheme val="minor"/>
    </font>
    <font>
      <b/>
      <sz val="14"/>
      <color theme="1"/>
      <name val="Century Gothic"/>
      <family val="1"/>
      <scheme val="minor"/>
    </font>
    <font>
      <sz val="14"/>
      <color theme="1"/>
      <name val="Century Gothic"/>
      <family val="1"/>
      <scheme val="minor"/>
    </font>
    <font>
      <b/>
      <sz val="24"/>
      <color theme="1"/>
      <name val="Century Gothic"/>
      <family val="1"/>
      <scheme val="minor"/>
    </font>
    <font>
      <b/>
      <sz val="36"/>
      <color theme="1"/>
      <name val="Century Gothic"/>
      <family val="1"/>
      <scheme val="major"/>
    </font>
    <font>
      <b/>
      <sz val="16"/>
      <color theme="1"/>
      <name val="Century Gothic"/>
      <family val="1"/>
      <scheme val="major"/>
    </font>
    <font>
      <b/>
      <sz val="24"/>
      <color theme="1"/>
      <name val="Century Gothic"/>
      <family val="1"/>
      <scheme val="major"/>
    </font>
    <font>
      <sz val="14"/>
      <color theme="1"/>
      <name val="Century Gothic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theme="7"/>
      </bottom>
      <diagonal/>
    </border>
    <border>
      <left/>
      <right/>
      <top style="dashed">
        <color theme="7"/>
      </top>
      <bottom style="dashed">
        <color theme="7"/>
      </bottom>
      <diagonal/>
    </border>
    <border>
      <left/>
      <right/>
      <top/>
      <bottom style="thick">
        <color theme="4"/>
      </bottom>
      <diagonal/>
    </border>
  </borders>
  <cellStyleXfs count="11">
    <xf numFmtId="0" fontId="0" fillId="0" borderId="0"/>
    <xf numFmtId="164" fontId="2" fillId="0" borderId="0" applyFont="0" applyFill="0" applyBorder="0" applyProtection="0">
      <alignment horizontal="right" vertical="center" indent="1"/>
    </xf>
    <xf numFmtId="0" fontId="1" fillId="0" borderId="0"/>
    <xf numFmtId="0" fontId="3" fillId="0" borderId="0">
      <alignment horizontal="left" vertical="center" wrapText="1" indent="1"/>
    </xf>
    <xf numFmtId="0" fontId="4" fillId="3" borderId="1" applyNumberFormat="0" applyProtection="0">
      <alignment horizontal="center" vertical="center"/>
    </xf>
    <xf numFmtId="0" fontId="5" fillId="0" borderId="3" applyNumberFormat="0" applyFont="0" applyAlignment="0" applyProtection="0"/>
    <xf numFmtId="0" fontId="4" fillId="3" borderId="0" applyNumberFormat="0" applyBorder="0" applyProtection="0">
      <alignment horizontal="left" vertical="center" indent="1"/>
    </xf>
    <xf numFmtId="9" fontId="6" fillId="0" borderId="0" applyFont="0" applyFill="0" applyBorder="0" applyProtection="0">
      <alignment horizontal="center" vertical="center"/>
    </xf>
    <xf numFmtId="0" fontId="7" fillId="0" borderId="0" applyNumberFormat="0" applyFill="0" applyBorder="0" applyAlignment="0">
      <alignment horizontal="left" vertical="center" wrapText="1" indent="1"/>
    </xf>
    <xf numFmtId="0" fontId="8" fillId="2" borderId="4" applyNumberFormat="0" applyProtection="0">
      <alignment horizontal="left" vertical="center" indent="3"/>
    </xf>
    <xf numFmtId="0" fontId="4" fillId="5" borderId="2" applyNumberFormat="0" applyProtection="0">
      <alignment horizontal="center" vertical="center"/>
    </xf>
  </cellStyleXfs>
  <cellXfs count="27">
    <xf numFmtId="0" fontId="0" fillId="0" borderId="0" xfId="0"/>
    <xf numFmtId="0" fontId="9" fillId="0" borderId="0" xfId="3" applyFont="1">
      <alignment horizontal="left" vertical="center" wrapText="1" indent="1"/>
    </xf>
    <xf numFmtId="0" fontId="10" fillId="0" borderId="7" xfId="9" applyFont="1" applyFill="1" applyBorder="1">
      <alignment horizontal="left" vertical="center" indent="3"/>
    </xf>
    <xf numFmtId="0" fontId="10" fillId="0" borderId="0" xfId="9" applyFont="1" applyFill="1" applyBorder="1" applyAlignment="1">
      <alignment horizontal="left" vertical="center" indent="1"/>
    </xf>
    <xf numFmtId="0" fontId="10" fillId="0" borderId="0" xfId="9" applyFont="1" applyFill="1" applyBorder="1">
      <alignment horizontal="left" vertical="center" indent="3"/>
    </xf>
    <xf numFmtId="0" fontId="10" fillId="0" borderId="4" xfId="9" applyFont="1" applyFill="1">
      <alignment horizontal="left" vertical="center" indent="3"/>
    </xf>
    <xf numFmtId="0" fontId="12" fillId="4" borderId="0" xfId="4" applyFont="1" applyFill="1" applyBorder="1" applyAlignment="1">
      <alignment horizontal="right" vertical="center" indent="1"/>
    </xf>
    <xf numFmtId="0" fontId="9" fillId="0" borderId="0" xfId="3" applyFont="1" applyAlignment="1">
      <alignment horizontal="left" vertical="center" indent="19"/>
    </xf>
    <xf numFmtId="0" fontId="13" fillId="0" borderId="5" xfId="3" applyFont="1" applyBorder="1" applyAlignment="1">
      <alignment horizontal="left" vertical="center" indent="1"/>
    </xf>
    <xf numFmtId="165" fontId="13" fillId="0" borderId="5" xfId="1" applyNumberFormat="1" applyFont="1" applyBorder="1">
      <alignment horizontal="right" vertical="center" indent="1"/>
    </xf>
    <xf numFmtId="0" fontId="13" fillId="0" borderId="6" xfId="5" applyFont="1" applyBorder="1" applyAlignment="1">
      <alignment horizontal="left" vertical="center" indent="1"/>
    </xf>
    <xf numFmtId="165" fontId="13" fillId="0" borderId="6" xfId="1" applyNumberFormat="1" applyFont="1" applyBorder="1">
      <alignment horizontal="right" vertical="center" indent="1"/>
    </xf>
    <xf numFmtId="0" fontId="9" fillId="0" borderId="0" xfId="3" applyFont="1" applyAlignment="1">
      <alignment horizontal="right" vertical="center" wrapText="1" indent="1"/>
    </xf>
    <xf numFmtId="165" fontId="11" fillId="4" borderId="0" xfId="1" applyNumberFormat="1" applyFont="1" applyFill="1" applyBorder="1">
      <alignment horizontal="right" vertical="center" indent="1"/>
    </xf>
    <xf numFmtId="9" fontId="11" fillId="4" borderId="0" xfId="7" applyFont="1" applyFill="1" applyBorder="1" applyAlignment="1">
      <alignment horizontal="right" vertical="center" indent="1"/>
    </xf>
    <xf numFmtId="0" fontId="14" fillId="0" borderId="0" xfId="10" applyFont="1" applyFill="1" applyBorder="1" applyAlignment="1">
      <alignment vertical="center"/>
    </xf>
    <xf numFmtId="0" fontId="13" fillId="0" borderId="0" xfId="3" applyFont="1">
      <alignment horizontal="left" vertical="center" wrapText="1" indent="1"/>
    </xf>
    <xf numFmtId="165" fontId="13" fillId="0" borderId="0" xfId="1" applyNumberFormat="1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165" fontId="13" fillId="0" borderId="0" xfId="0" applyNumberFormat="1" applyFont="1" applyAlignment="1">
      <alignment horizontal="left" vertical="center" indent="1"/>
    </xf>
    <xf numFmtId="165" fontId="13" fillId="0" borderId="0" xfId="3" applyNumberFormat="1" applyFont="1">
      <alignment horizontal="left" vertical="center" wrapText="1" indent="1"/>
    </xf>
    <xf numFmtId="165" fontId="13" fillId="0" borderId="0" xfId="1" applyNumberFormat="1" applyFont="1" applyFill="1" applyAlignment="1">
      <alignment horizontal="left" vertical="center" indent="1"/>
    </xf>
    <xf numFmtId="0" fontId="15" fillId="0" borderId="7" xfId="10" applyFont="1" applyFill="1" applyBorder="1" applyAlignment="1">
      <alignment horizontal="left" vertical="center"/>
    </xf>
    <xf numFmtId="0" fontId="16" fillId="4" borderId="0" xfId="4" applyFont="1" applyFill="1" applyBorder="1" applyAlignment="1">
      <alignment horizontal="left" vertical="center" indent="1"/>
    </xf>
    <xf numFmtId="0" fontId="17" fillId="0" borderId="0" xfId="10" applyFont="1" applyFill="1" applyBorder="1" applyAlignment="1">
      <alignment horizontal="left" vertical="center"/>
    </xf>
    <xf numFmtId="0" fontId="18" fillId="0" borderId="0" xfId="3" applyFont="1" applyAlignment="1">
      <alignment horizontal="left" vertical="center" indent="1"/>
    </xf>
    <xf numFmtId="0" fontId="18" fillId="0" borderId="0" xfId="3" applyFont="1">
      <alignment horizontal="left" vertical="center" wrapText="1" indent="1"/>
    </xf>
  </cellXfs>
  <cellStyles count="11">
    <cellStyle name="Currency" xfId="1" builtinId="4"/>
    <cellStyle name="Heading 1 2" xfId="10" xr:uid="{8ED66FA4-0558-4280-9ADC-CA3D98E3673C}"/>
    <cellStyle name="Heading 2 2" xfId="4" xr:uid="{130502FE-157F-4C98-87F1-F1CEC9E21556}"/>
    <cellStyle name="Heading 3 2" xfId="6" xr:uid="{934215B1-91EB-43F3-A808-1BA0C30B13F5}"/>
    <cellStyle name="Input 2" xfId="5" xr:uid="{167663E0-32C9-41AD-B3F2-4BAC0D47360A}"/>
    <cellStyle name="Normal" xfId="0" builtinId="0"/>
    <cellStyle name="Normal 2" xfId="2" xr:uid="{80AEA5B2-4EA1-4F77-8CC7-676B84430FAC}"/>
    <cellStyle name="Normal 3" xfId="3" xr:uid="{B6C690DE-886E-4414-BA66-5D34479AE147}"/>
    <cellStyle name="Percent 2" xfId="7" xr:uid="{409772FD-5152-49DC-BE94-4AA51155E5FD}"/>
    <cellStyle name="Title 2" xfId="9" xr:uid="{37D3D399-C3F1-4B17-B2CF-6C5122FC1D9C}"/>
    <cellStyle name="Year" xfId="8" xr:uid="{70FE7F4B-5F3C-4EED-AB00-97350410151F}"/>
  </cellStyles>
  <dxfs count="75"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5" formatCode="&quot;$&quot;#,##0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ill>
        <patternFill patternType="none">
          <bgColor auto="1"/>
        </patternFill>
      </fill>
      <border>
        <top style="dotted">
          <color theme="5"/>
        </top>
        <bottom style="dotted">
          <color theme="5"/>
        </bottom>
        <horizontal style="dotted">
          <color theme="5"/>
        </horizontal>
      </border>
    </dxf>
    <dxf>
      <font>
        <color theme="0" tint="-4.9989318521683403E-2"/>
      </font>
      <fill>
        <patternFill>
          <bgColor theme="4" tint="0.79998168889431442"/>
        </patternFill>
      </fill>
      <border>
        <top/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  <border>
        <top/>
        <bottom style="thick">
          <color theme="4"/>
        </bottom>
        <vertical style="thin">
          <color theme="4" tint="0.59996337778862885"/>
        </vertical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 style="thin">
          <color theme="4" tint="0.59996337778862885"/>
        </vertical>
        <horizontal/>
      </border>
    </dxf>
    <dxf>
      <border>
        <left/>
        <bottom style="medium">
          <color theme="4"/>
        </bottom>
        <vertical style="thin">
          <color theme="4" tint="0.79998168889431442"/>
        </vertical>
      </border>
    </dxf>
  </dxfs>
  <tableStyles count="2" defaultTableStyle="TableStyleMedium2" defaultPivotStyle="PivotStyleLight16">
    <tableStyle name="Simple Monthly Budget 2" pivot="0" count="4" xr9:uid="{07D6F1CB-291C-4348-A9AA-C12AE219BD54}">
      <tableStyleElement type="wholeTable" dxfId="74"/>
      <tableStyleElement type="headerRow" dxfId="73"/>
      <tableStyleElement type="totalRow" dxfId="72"/>
      <tableStyleElement type="firstRowStripe" dxfId="71"/>
    </tableStyle>
    <tableStyle name="Simple Monthly Budget 2 2" pivot="0" count="4" xr9:uid="{A06A75A4-D40E-4AE5-970F-04AA37E2341A}">
      <tableStyleElement type="wholeTable" dxfId="70"/>
      <tableStyleElement type="headerRow" dxfId="69"/>
      <tableStyleElement type="totalRow" dxfId="68"/>
      <tableStyleElement type="firstRowStripe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latin typeface="+mj-lt"/>
              </a:rPr>
              <a:t>Income and expenses by month</a:t>
            </a:r>
          </a:p>
        </c:rich>
      </c:tx>
      <c:layout>
        <c:manualLayout>
          <c:xMode val="edge"/>
          <c:yMode val="edge"/>
          <c:x val="0.36195678665166853"/>
          <c:y val="0.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by month'!$B$12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by month'!$C$13:$M$13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'Budget by month'!$C$18:$M$18</c:f>
              <c:numCache>
                <c:formatCode>"$"#,##0</c:formatCode>
                <c:ptCount val="11"/>
                <c:pt idx="0">
                  <c:v>4000</c:v>
                </c:pt>
                <c:pt idx="1">
                  <c:v>4040</c:v>
                </c:pt>
                <c:pt idx="2">
                  <c:v>4040</c:v>
                </c:pt>
                <c:pt idx="3">
                  <c:v>4040</c:v>
                </c:pt>
                <c:pt idx="4">
                  <c:v>4040</c:v>
                </c:pt>
                <c:pt idx="5">
                  <c:v>4040</c:v>
                </c:pt>
                <c:pt idx="6">
                  <c:v>4040</c:v>
                </c:pt>
                <c:pt idx="7">
                  <c:v>4040</c:v>
                </c:pt>
                <c:pt idx="8">
                  <c:v>4040</c:v>
                </c:pt>
                <c:pt idx="9">
                  <c:v>4040</c:v>
                </c:pt>
                <c:pt idx="10">
                  <c:v>4040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D-4C4B-A2D4-DB7D19A4544A}"/>
            </c:ext>
          </c:extLst>
        </c:ser>
        <c:ser>
          <c:idx val="1"/>
          <c:order val="1"/>
          <c:tx>
            <c:strRef>
              <c:f>'Budget by month'!$B$20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by month'!$C$13:$M$13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'Budget by month'!$C$39:$M$39</c:f>
              <c:numCache>
                <c:formatCode>"$"#,##0</c:formatCode>
                <c:ptCount val="11"/>
                <c:pt idx="0">
                  <c:v>2476</c:v>
                </c:pt>
                <c:pt idx="1">
                  <c:v>2525.52</c:v>
                </c:pt>
                <c:pt idx="2">
                  <c:v>2525.52</c:v>
                </c:pt>
                <c:pt idx="3">
                  <c:v>2525.52</c:v>
                </c:pt>
                <c:pt idx="4">
                  <c:v>2525.52</c:v>
                </c:pt>
                <c:pt idx="5">
                  <c:v>2525.52</c:v>
                </c:pt>
                <c:pt idx="6">
                  <c:v>2525.52</c:v>
                </c:pt>
                <c:pt idx="7">
                  <c:v>2525.52</c:v>
                </c:pt>
                <c:pt idx="8">
                  <c:v>2525.52</c:v>
                </c:pt>
                <c:pt idx="9">
                  <c:v>2525.52</c:v>
                </c:pt>
                <c:pt idx="10">
                  <c:v>2525.52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D-4C4B-A2D4-DB7D19A454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124757727"/>
        <c:axId val="1132187055"/>
      </c:barChart>
      <c:catAx>
        <c:axId val="11247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7055"/>
        <c:crosses val="autoZero"/>
        <c:auto val="1"/>
        <c:lblAlgn val="ctr"/>
        <c:lblOffset val="100"/>
        <c:noMultiLvlLbl val="0"/>
      </c:catAx>
      <c:valAx>
        <c:axId val="11321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5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latin typeface="+mj-lt"/>
              </a:rPr>
              <a:t>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by month'!$O$21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by month'!$B$22:$B$39</c:f>
              <c:strCache>
                <c:ptCount val="17"/>
                <c:pt idx="0">
                  <c:v>Children</c:v>
                </c:pt>
                <c:pt idx="1">
                  <c:v>Debt</c:v>
                </c:pt>
                <c:pt idx="2">
                  <c:v>Dining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Groceries</c:v>
                </c:pt>
                <c:pt idx="6">
                  <c:v>Gifts</c:v>
                </c:pt>
                <c:pt idx="7">
                  <c:v>Health</c:v>
                </c:pt>
                <c:pt idx="8">
                  <c:v>Home</c:v>
                </c:pt>
                <c:pt idx="9">
                  <c:v>Insurance</c:v>
                </c:pt>
                <c:pt idx="10">
                  <c:v>Pets</c:v>
                </c:pt>
                <c:pt idx="11">
                  <c:v>Shopping</c:v>
                </c:pt>
                <c:pt idx="12">
                  <c:v>Technology</c:v>
                </c:pt>
                <c:pt idx="13">
                  <c:v>Transportation</c:v>
                </c:pt>
                <c:pt idx="14">
                  <c:v>Travel</c:v>
                </c:pt>
                <c:pt idx="15">
                  <c:v>Utilities</c:v>
                </c:pt>
                <c:pt idx="16">
                  <c:v>Other</c:v>
                </c:pt>
              </c:strCache>
            </c:strRef>
          </c:cat>
          <c:val>
            <c:numRef>
              <c:f>'Budget by month'!$O$22:$O$39</c:f>
              <c:numCache>
                <c:formatCode>"$"#,##0</c:formatCode>
                <c:ptCount val="17"/>
                <c:pt idx="0">
                  <c:v>9776</c:v>
                </c:pt>
                <c:pt idx="1">
                  <c:v>1466.4000000000003</c:v>
                </c:pt>
                <c:pt idx="2">
                  <c:v>733.20000000000016</c:v>
                </c:pt>
                <c:pt idx="3">
                  <c:v>611</c:v>
                </c:pt>
                <c:pt idx="4">
                  <c:v>549.89999999999986</c:v>
                </c:pt>
                <c:pt idx="5">
                  <c:v>6110</c:v>
                </c:pt>
                <c:pt idx="6">
                  <c:v>3336.0600000000004</c:v>
                </c:pt>
                <c:pt idx="7">
                  <c:v>1466.4000000000003</c:v>
                </c:pt>
                <c:pt idx="8">
                  <c:v>611</c:v>
                </c:pt>
                <c:pt idx="9">
                  <c:v>1222</c:v>
                </c:pt>
                <c:pt idx="10">
                  <c:v>953.15999999999985</c:v>
                </c:pt>
                <c:pt idx="11">
                  <c:v>611</c:v>
                </c:pt>
                <c:pt idx="12">
                  <c:v>1222</c:v>
                </c:pt>
                <c:pt idx="13">
                  <c:v>611</c:v>
                </c:pt>
                <c:pt idx="14">
                  <c:v>122.20000000000002</c:v>
                </c:pt>
                <c:pt idx="15">
                  <c:v>611</c:v>
                </c:pt>
                <c:pt idx="16">
                  <c:v>244.40000000000003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3-45C3-BE49-EFB7C8CAA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081865903"/>
        <c:axId val="1109733487"/>
      </c:barChart>
      <c:catAx>
        <c:axId val="10818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33487"/>
        <c:crosses val="autoZero"/>
        <c:auto val="1"/>
        <c:lblAlgn val="ctr"/>
        <c:lblOffset val="100"/>
        <c:noMultiLvlLbl val="0"/>
      </c:catAx>
      <c:valAx>
        <c:axId val="11097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ChartData</c:v>
          </c:tx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F9B-4DAA-8F07-13A1DB6B17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F9B-4DAA-8F07-13A1DB6B1714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Income</c:v>
              </c:pt>
              <c:pt idx="1">
                <c:v>Expenses</c:v>
              </c:pt>
            </c:strLit>
          </c:cat>
          <c:val>
            <c:numRef>
              <c:f>'Budget by month'!$C$5:$C$6</c:f>
              <c:numCache>
                <c:formatCode>"$"#,##0</c:formatCode>
                <c:ptCount val="2"/>
                <c:pt idx="0">
                  <c:v>48440</c:v>
                </c:pt>
                <c:pt idx="1">
                  <c:v>30256.720000000005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9B-4DAA-8F07-13A1DB6B17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539195768"/>
        <c:axId val="539196160"/>
      </c:barChart>
      <c:catAx>
        <c:axId val="539195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crossAx val="539196160"/>
        <c:crosses val="autoZero"/>
        <c:auto val="1"/>
        <c:lblAlgn val="ctr"/>
        <c:lblOffset val="80"/>
        <c:noMultiLvlLbl val="0"/>
      </c:catAx>
      <c:valAx>
        <c:axId val="539196160"/>
        <c:scaling>
          <c:orientation val="minMax"/>
          <c:min val="0"/>
        </c:scaling>
        <c:delete val="0"/>
        <c:axPos val="l"/>
        <c:numFmt formatCode="&quot;$&quot;#,##0" sourceLinked="0"/>
        <c:majorTickMark val="in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crossAx val="539195768"/>
        <c:crosses val="autoZero"/>
        <c:crossBetween val="between"/>
        <c:minorUnit val="50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6</xdr:col>
      <xdr:colOff>514350</xdr:colOff>
      <xdr:row>59</xdr:row>
      <xdr:rowOff>0</xdr:rowOff>
    </xdr:to>
    <xdr:graphicFrame macro="">
      <xdr:nvGraphicFramePr>
        <xdr:cNvPr id="2" name="Chart 1" descr="Income and expenses by month chart">
          <a:extLst>
            <a:ext uri="{FF2B5EF4-FFF2-40B4-BE49-F238E27FC236}">
              <a16:creationId xmlns:a16="http://schemas.microsoft.com/office/drawing/2014/main" i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533400</xdr:colOff>
      <xdr:row>60</xdr:row>
      <xdr:rowOff>0</xdr:rowOff>
    </xdr:to>
    <xdr:graphicFrame macro="">
      <xdr:nvGraphicFramePr>
        <xdr:cNvPr id="3" name="Chart 2" descr="Total expenses chart">
          <a:extLst>
            <a:ext uri="{FF2B5EF4-FFF2-40B4-BE49-F238E27FC236}">
              <a16:creationId xmlns:a16="http://schemas.microsoft.com/office/drawing/2014/main" id="{C35D2FC9-37D4-41E2-AA8F-BB8EB655FD80}"/>
            </a:ext>
            <a:ext uri="{147F2762-F138-4A5C-976F-8EAC2B608ADB}">
              <a16:predDERef xmlns:a16="http://schemas.microsoft.com/office/drawing/2014/main" pre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828675</xdr:colOff>
      <xdr:row>2</xdr:row>
      <xdr:rowOff>114300</xdr:rowOff>
    </xdr:from>
    <xdr:to>
      <xdr:col>8</xdr:col>
      <xdr:colOff>242889</xdr:colOff>
      <xdr:row>11</xdr:row>
      <xdr:rowOff>50800</xdr:rowOff>
    </xdr:to>
    <xdr:graphicFrame macro="">
      <xdr:nvGraphicFramePr>
        <xdr:cNvPr id="4" name="IncomeAndExpenses" descr="Clustered column chart showing Total Monthly Income and Total Monthly Expenses">
          <a:extLst>
            <a:ext uri="{FF2B5EF4-FFF2-40B4-BE49-F238E27FC236}">
              <a16:creationId xmlns:a16="http://schemas.microsoft.com/office/drawing/2014/main" id="{AB3DAE40-2899-4166-A34C-AB6035A00B73}"/>
            </a:ext>
            <a:ext uri="{147F2762-F138-4A5C-976F-8EAC2B608ADB}">
              <a16:predDERef xmlns:a16="http://schemas.microsoft.com/office/drawing/2014/main" pred="{C35D2FC9-37D4-41E2-AA8F-BB8EB655F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DA044-3D00-4D5C-AA03-711FB3F7A6DD}" name="Expenses" displayName="Expenses" ref="B21:P39" totalsRowCount="1" headerRowDxfId="66" dataDxfId="64" totalsRowDxfId="63" headerRowBorderDxfId="65">
  <autoFilter ref="B21:P38" xr:uid="{052B60F2-6A2A-41E4-B306-63C7F82ACC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B02C4AA-59FE-4F33-A818-82D236FBD218}" name="Item" totalsRowLabel="Total" dataDxfId="62" totalsRowDxfId="24" dataCellStyle="Normal"/>
    <tableColumn id="2" xr3:uid="{3AD6DF15-CAB2-43BC-A24D-634A37B2D7CE}" name="Jan" totalsRowFunction="sum" dataDxfId="61" totalsRowDxfId="23" dataCellStyle="Currency"/>
    <tableColumn id="3" xr3:uid="{906EC369-0EF7-4CEE-8FED-F79AF685DF2D}" name="Feb" totalsRowFunction="sum" dataDxfId="25" totalsRowDxfId="22">
      <calculatedColumnFormula>Expenses[[#This Row],[Jan]]*1.02</calculatedColumnFormula>
    </tableColumn>
    <tableColumn id="4" xr3:uid="{1D9F03B8-39C1-426C-9751-D711D4CA4866}" name="Mar" totalsRowFunction="sum" dataDxfId="9" totalsRowDxfId="21">
      <calculatedColumnFormula>Expenses[[#This Row],[Jan]]*1.02</calculatedColumnFormula>
    </tableColumn>
    <tableColumn id="5" xr3:uid="{11A68AB7-C104-404C-87C2-326CFC5BFCC9}" name="Apr" totalsRowFunction="sum" dataDxfId="8" totalsRowDxfId="20">
      <calculatedColumnFormula>Expenses[[#This Row],[Jan]]*1.02</calculatedColumnFormula>
    </tableColumn>
    <tableColumn id="6" xr3:uid="{14FBEADA-FDED-4EFB-9100-0AD87027AB32}" name="May" totalsRowFunction="sum" dataDxfId="7" totalsRowDxfId="19">
      <calculatedColumnFormula>Expenses[[#This Row],[Jan]]*1.02</calculatedColumnFormula>
    </tableColumn>
    <tableColumn id="7" xr3:uid="{1A81C807-0F0C-4ED4-B90E-8597CE77C676}" name="Jun" totalsRowFunction="sum" dataDxfId="6" totalsRowDxfId="18">
      <calculatedColumnFormula>Expenses[[#This Row],[Jan]]*1.02</calculatedColumnFormula>
    </tableColumn>
    <tableColumn id="8" xr3:uid="{2CB91FFC-D5FC-4CA0-AA79-C066BCF85EE3}" name="Jul" totalsRowFunction="sum" dataDxfId="5" totalsRowDxfId="17">
      <calculatedColumnFormula>Expenses[[#This Row],[Jan]]*1.02</calculatedColumnFormula>
    </tableColumn>
    <tableColumn id="9" xr3:uid="{97D78DF2-B1EE-456F-8547-123CC2702781}" name="Aug" totalsRowFunction="sum" dataDxfId="4" totalsRowDxfId="16">
      <calculatedColumnFormula>Expenses[[#This Row],[Jan]]*1.02</calculatedColumnFormula>
    </tableColumn>
    <tableColumn id="10" xr3:uid="{5289E318-2FE2-443B-80F8-216BA018FA11}" name="Sep" totalsRowFunction="sum" dataDxfId="3" totalsRowDxfId="15">
      <calculatedColumnFormula>Expenses[[#This Row],[Jan]]*1.02</calculatedColumnFormula>
    </tableColumn>
    <tableColumn id="11" xr3:uid="{71659D0C-FD87-4104-BF44-1C664B51B7AA}" name="Oct" totalsRowFunction="sum" dataDxfId="2" totalsRowDxfId="14">
      <calculatedColumnFormula>Expenses[[#This Row],[Jan]]*1.02</calculatedColumnFormula>
    </tableColumn>
    <tableColumn id="12" xr3:uid="{4628989A-7973-456A-8C5A-A8A6D57C7547}" name="Nov" totalsRowFunction="sum" dataDxfId="1" totalsRowDxfId="13">
      <calculatedColumnFormula>Expenses[[#This Row],[Jan]]*1.02</calculatedColumnFormula>
    </tableColumn>
    <tableColumn id="13" xr3:uid="{F5457BF1-3FEA-4D1C-9523-67D19B404A94}" name="Dec" totalsRowFunction="sum" dataDxfId="0" totalsRowDxfId="12">
      <calculatedColumnFormula>Expenses[[#This Row],[Jan]]*1.02</calculatedColumnFormula>
    </tableColumn>
    <tableColumn id="14" xr3:uid="{C70A117F-DC84-4241-A5C1-4219902645AD}" name="Total" totalsRowFunction="sum" dataDxfId="60" totalsRowDxfId="11" dataCellStyle="Currency">
      <calculatedColumnFormula>SUM(Expenses[[#This Row],[Jan]:[Dec]])</calculatedColumnFormula>
    </tableColumn>
    <tableColumn id="15" xr3:uid="{425A025C-4D6D-4171-B4AE-BE335F79F839}" name="Average" totalsRowFunction="average" dataDxfId="59" totalsRowDxfId="10" dataCellStyle="Currency">
      <calculatedColumnFormula>AVERAGE(Expenses[[#This Row],[Jan]:[Dec]])</calculatedColumnFormula>
    </tableColumn>
  </tableColumns>
  <tableStyleInfo name="Simple Monthly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 and corresponding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A91B1-1A0E-45D9-90B3-8FE2945928D2}" name="Income" displayName="Income" ref="B13:P18" totalsRowCount="1" headerRowDxfId="58" dataDxfId="57" totalsRowDxfId="56">
  <autoFilter ref="B13:P17" xr:uid="{2826007E-9D36-4A01-B502-D3C26CD7D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6960271-84BF-4E1E-AB88-2CEBF69F5991}" name="Item" totalsRowLabel="Total" dataDxfId="55" totalsRowDxfId="40" dataCellStyle="Normal"/>
    <tableColumn id="2" xr3:uid="{4DE24E8E-9814-4B87-B5B2-742308E21B1C}" name="Jan" totalsRowFunction="sum" dataDxfId="54" totalsRowDxfId="39" dataCellStyle="Currency"/>
    <tableColumn id="3" xr3:uid="{0BE416BC-EC9C-4F9F-9256-F360B7F10AD7}" name="Feb" totalsRowFunction="sum" dataDxfId="51" totalsRowDxfId="38" dataCellStyle="Normal 3">
      <calculatedColumnFormula>Income[[#This Row],[Jan]]*1.01</calculatedColumnFormula>
    </tableColumn>
    <tableColumn id="4" xr3:uid="{1C8A3E5A-847B-4CBC-AC25-A7F3006813B8}" name="Mar" totalsRowFunction="sum" dataDxfId="50" totalsRowDxfId="37" dataCellStyle="Normal 3">
      <calculatedColumnFormula>Income[[#This Row],[Jan]]*1.01</calculatedColumnFormula>
    </tableColumn>
    <tableColumn id="5" xr3:uid="{16AA1869-5314-4F30-874C-2424C9942EFA}" name="Apr" totalsRowFunction="sum" dataDxfId="49" totalsRowDxfId="36" dataCellStyle="Normal 3">
      <calculatedColumnFormula>Income[[#This Row],[Jan]]*1.01</calculatedColumnFormula>
    </tableColumn>
    <tableColumn id="6" xr3:uid="{08F9B2A8-95EA-420C-8DDD-9DCFADF69BD3}" name="May" totalsRowFunction="sum" dataDxfId="48" totalsRowDxfId="35" dataCellStyle="Normal 3">
      <calculatedColumnFormula>Income[[#This Row],[Jan]]*1.01</calculatedColumnFormula>
    </tableColumn>
    <tableColumn id="7" xr3:uid="{9174C30F-0B10-488A-87D0-F67C5A1CEC32}" name="Jun" totalsRowFunction="sum" dataDxfId="47" totalsRowDxfId="34" dataCellStyle="Normal 3">
      <calculatedColumnFormula>Income[[#This Row],[Jan]]*1.01</calculatedColumnFormula>
    </tableColumn>
    <tableColumn id="8" xr3:uid="{ACD6B6A6-F941-4C91-A846-17A0F4645CD1}" name="Jul" totalsRowFunction="sum" dataDxfId="46" totalsRowDxfId="33" dataCellStyle="Normal 3">
      <calculatedColumnFormula>Income[[#This Row],[Jan]]*1.01</calculatedColumnFormula>
    </tableColumn>
    <tableColumn id="9" xr3:uid="{DEE75E9D-57A5-4131-8CB6-5D5D78968BC6}" name="Aug" totalsRowFunction="sum" dataDxfId="45" totalsRowDxfId="32" dataCellStyle="Normal 3">
      <calculatedColumnFormula>Income[[#This Row],[Jan]]*1.01</calculatedColumnFormula>
    </tableColumn>
    <tableColumn id="10" xr3:uid="{8AB528C6-0C73-4483-B3D5-E013F0F73A4D}" name="Sep" totalsRowFunction="sum" dataDxfId="44" totalsRowDxfId="31" dataCellStyle="Normal 3">
      <calculatedColumnFormula>Income[[#This Row],[Jan]]*1.01</calculatedColumnFormula>
    </tableColumn>
    <tableColumn id="11" xr3:uid="{98E12DA2-9B82-46BD-9899-2A9274A65B32}" name="Oct" totalsRowFunction="sum" dataDxfId="43" totalsRowDxfId="30" dataCellStyle="Normal 3">
      <calculatedColumnFormula>Income[[#This Row],[Jan]]*1.01</calculatedColumnFormula>
    </tableColumn>
    <tableColumn id="12" xr3:uid="{CCF698C4-4E2A-417B-821D-245AE6D1778F}" name="Nov" totalsRowFunction="sum" dataDxfId="42" totalsRowDxfId="29" dataCellStyle="Normal 3">
      <calculatedColumnFormula>Income[[#This Row],[Jan]]*1.01</calculatedColumnFormula>
    </tableColumn>
    <tableColumn id="13" xr3:uid="{0D772E6B-FCAB-4B2E-AA3D-4B3D8165F74D}" name="Dec" totalsRowFunction="sum" dataDxfId="41" totalsRowDxfId="28" dataCellStyle="Normal 3">
      <calculatedColumnFormula>Income[[#This Row],[Jan]]*1.01</calculatedColumnFormula>
    </tableColumn>
    <tableColumn id="14" xr3:uid="{5237C918-25EA-4071-889D-7C2F8A576286}" name="Total" totalsRowFunction="sum" dataDxfId="53" totalsRowDxfId="27" dataCellStyle="Currency">
      <calculatedColumnFormula>SUM(Income[[#This Row],[Jan]:[Dec]])</calculatedColumnFormula>
    </tableColumn>
    <tableColumn id="15" xr3:uid="{B71D94A2-E8BE-4680-982E-69349A884878}" name="Average" totalsRowFunction="average" dataDxfId="52" totalsRowDxfId="26" dataCellStyle="Currency">
      <calculatedColumnFormula>AVERAGE(Income[[#This Row],[Jan]:[Dec]])</calculatedColumnFormula>
    </tableColumn>
  </tableColumns>
  <tableStyleInfo name="Simple Monthly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Income Items and corresponding Amounts in this table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B08A-20B6-4BBC-80F9-E1108E0390AA}">
  <sheetPr codeName="Sheet1">
    <tabColor theme="4"/>
    <pageSetUpPr fitToPage="1"/>
  </sheetPr>
  <dimension ref="B1:P67"/>
  <sheetViews>
    <sheetView showGridLines="0" tabSelected="1" workbookViewId="0">
      <selection activeCell="B4" sqref="B4:B10"/>
    </sheetView>
  </sheetViews>
  <sheetFormatPr defaultColWidth="8.875" defaultRowHeight="14.25" x14ac:dyDescent="0.4"/>
  <cols>
    <col min="1" max="1" width="4.6875" style="1" customWidth="1"/>
    <col min="2" max="2" width="45.6875" style="1" customWidth="1"/>
    <col min="3" max="3" width="11.3125" style="1" customWidth="1"/>
    <col min="4" max="4" width="11.75" style="1" bestFit="1" customWidth="1"/>
    <col min="5" max="5" width="11.375" style="1" customWidth="1"/>
    <col min="6" max="6" width="16.1875" style="1" bestFit="1" customWidth="1"/>
    <col min="7" max="15" width="11.375" style="1" customWidth="1"/>
    <col min="16" max="16" width="15.3125" style="1" customWidth="1"/>
    <col min="17" max="17" width="4.6875" style="1" customWidth="1"/>
    <col min="18" max="16384" width="8.875" style="1"/>
  </cols>
  <sheetData>
    <row r="1" spans="2:16" ht="25.05" customHeight="1" x14ac:dyDescent="0.4"/>
    <row r="2" spans="2:16" ht="60" customHeight="1" thickBot="1" x14ac:dyDescent="0.45">
      <c r="B2" s="2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20" customHeight="1" thickTop="1" thickBot="1" x14ac:dyDescent="0.45"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6" ht="35" customHeight="1" x14ac:dyDescent="0.4">
      <c r="B4" s="23" t="s">
        <v>1</v>
      </c>
      <c r="C4" s="6"/>
      <c r="D4" s="7"/>
    </row>
    <row r="5" spans="2:16" ht="30" customHeight="1" x14ac:dyDescent="0.4">
      <c r="B5" s="8" t="s">
        <v>2</v>
      </c>
      <c r="C5" s="9">
        <f>Income[[#Totals],[Total]]</f>
        <v>48440</v>
      </c>
      <c r="D5" s="7"/>
    </row>
    <row r="6" spans="2:16" ht="30" customHeight="1" x14ac:dyDescent="0.4">
      <c r="B6" s="10" t="s">
        <v>3</v>
      </c>
      <c r="C6" s="11">
        <f>Expenses[[#Totals],[Total]]</f>
        <v>30256.720000000005</v>
      </c>
      <c r="D6" s="7"/>
    </row>
    <row r="7" spans="2:16" ht="20" customHeight="1" x14ac:dyDescent="0.4">
      <c r="C7" s="12"/>
      <c r="D7" s="7"/>
    </row>
    <row r="8" spans="2:16" ht="35" customHeight="1" x14ac:dyDescent="0.4">
      <c r="B8" s="23" t="s">
        <v>4</v>
      </c>
      <c r="C8" s="13">
        <f>C5-C6</f>
        <v>18183.279999999995</v>
      </c>
      <c r="D8" s="7"/>
    </row>
    <row r="9" spans="2:16" ht="20" customHeight="1" x14ac:dyDescent="0.4">
      <c r="C9" s="12"/>
    </row>
    <row r="10" spans="2:16" ht="35" customHeight="1" x14ac:dyDescent="0.4">
      <c r="B10" s="23" t="s">
        <v>5</v>
      </c>
      <c r="C10" s="14">
        <f>C6/C5</f>
        <v>0.62462262592898443</v>
      </c>
    </row>
    <row r="11" spans="2:16" ht="20" customHeight="1" x14ac:dyDescent="0.4">
      <c r="C11" s="12"/>
    </row>
    <row r="12" spans="2:16" ht="60" customHeight="1" x14ac:dyDescent="0.4">
      <c r="B12" s="24" t="s">
        <v>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2:16" ht="35" customHeight="1" x14ac:dyDescent="0.4">
      <c r="B13" s="25" t="s">
        <v>7</v>
      </c>
      <c r="C13" s="25" t="s">
        <v>8</v>
      </c>
      <c r="D13" s="26" t="s">
        <v>9</v>
      </c>
      <c r="E13" s="26" t="s">
        <v>10</v>
      </c>
      <c r="F13" s="26" t="s">
        <v>11</v>
      </c>
      <c r="G13" s="26" t="s">
        <v>12</v>
      </c>
      <c r="H13" s="26" t="s">
        <v>13</v>
      </c>
      <c r="I13" s="26" t="s">
        <v>14</v>
      </c>
      <c r="J13" s="26" t="s">
        <v>15</v>
      </c>
      <c r="K13" s="26" t="s">
        <v>16</v>
      </c>
      <c r="L13" s="26" t="s">
        <v>17</v>
      </c>
      <c r="M13" s="26" t="s">
        <v>18</v>
      </c>
      <c r="N13" s="26" t="s">
        <v>19</v>
      </c>
      <c r="O13" s="26" t="s">
        <v>20</v>
      </c>
      <c r="P13" s="26" t="s">
        <v>21</v>
      </c>
    </row>
    <row r="14" spans="2:16" ht="30" customHeight="1" x14ac:dyDescent="0.4">
      <c r="B14" s="16" t="s">
        <v>22</v>
      </c>
      <c r="C14" s="17">
        <v>2500</v>
      </c>
      <c r="D14" s="16">
        <f>Income[[#This Row],[Jan]]*1.01</f>
        <v>2525</v>
      </c>
      <c r="E14" s="16">
        <f>Income[[#This Row],[Jan]]*1.01</f>
        <v>2525</v>
      </c>
      <c r="F14" s="16">
        <f>Income[[#This Row],[Jan]]*1.01</f>
        <v>2525</v>
      </c>
      <c r="G14" s="16">
        <f>Income[[#This Row],[Jan]]*1.01</f>
        <v>2525</v>
      </c>
      <c r="H14" s="16">
        <f>Income[[#This Row],[Jan]]*1.01</f>
        <v>2525</v>
      </c>
      <c r="I14" s="16">
        <f>Income[[#This Row],[Jan]]*1.01</f>
        <v>2525</v>
      </c>
      <c r="J14" s="16">
        <f>Income[[#This Row],[Jan]]*1.01</f>
        <v>2525</v>
      </c>
      <c r="K14" s="16">
        <f>Income[[#This Row],[Jan]]*1.01</f>
        <v>2525</v>
      </c>
      <c r="L14" s="16">
        <f>Income[[#This Row],[Jan]]*1.01</f>
        <v>2525</v>
      </c>
      <c r="M14" s="16">
        <f>Income[[#This Row],[Jan]]*1.01</f>
        <v>2525</v>
      </c>
      <c r="N14" s="16">
        <f>Income[[#This Row],[Jan]]*1.01</f>
        <v>2525</v>
      </c>
      <c r="O14" s="17">
        <f>SUM(Income[[#This Row],[Jan]:[Dec]])</f>
        <v>30275</v>
      </c>
      <c r="P14" s="17">
        <f>AVERAGE(Income[[#This Row],[Jan]:[Dec]])</f>
        <v>2522.9166666666665</v>
      </c>
    </row>
    <row r="15" spans="2:16" ht="30" customHeight="1" x14ac:dyDescent="0.4">
      <c r="B15" s="16" t="s">
        <v>23</v>
      </c>
      <c r="C15" s="17">
        <v>1000</v>
      </c>
      <c r="D15" s="16">
        <f>Income[[#This Row],[Jan]]*1.01</f>
        <v>1010</v>
      </c>
      <c r="E15" s="16">
        <f>Income[[#This Row],[Jan]]*1.01</f>
        <v>1010</v>
      </c>
      <c r="F15" s="16">
        <f>Income[[#This Row],[Jan]]*1.01</f>
        <v>1010</v>
      </c>
      <c r="G15" s="16">
        <f>Income[[#This Row],[Jan]]*1.01</f>
        <v>1010</v>
      </c>
      <c r="H15" s="16">
        <f>Income[[#This Row],[Jan]]*1.01</f>
        <v>1010</v>
      </c>
      <c r="I15" s="16">
        <f>Income[[#This Row],[Jan]]*1.01</f>
        <v>1010</v>
      </c>
      <c r="J15" s="16">
        <f>Income[[#This Row],[Jan]]*1.01</f>
        <v>1010</v>
      </c>
      <c r="K15" s="16">
        <f>Income[[#This Row],[Jan]]*1.01</f>
        <v>1010</v>
      </c>
      <c r="L15" s="16">
        <f>Income[[#This Row],[Jan]]*1.01</f>
        <v>1010</v>
      </c>
      <c r="M15" s="16">
        <f>Income[[#This Row],[Jan]]*1.01</f>
        <v>1010</v>
      </c>
      <c r="N15" s="16">
        <f>Income[[#This Row],[Jan]]*1.01</f>
        <v>1010</v>
      </c>
      <c r="O15" s="17">
        <f>SUM(Income[[#This Row],[Jan]:[Dec]])</f>
        <v>12110</v>
      </c>
      <c r="P15" s="17">
        <f>AVERAGE(Income[[#This Row],[Jan]:[Dec]])</f>
        <v>1009.1666666666666</v>
      </c>
    </row>
    <row r="16" spans="2:16" ht="30" customHeight="1" x14ac:dyDescent="0.4">
      <c r="B16" s="16" t="s">
        <v>24</v>
      </c>
      <c r="C16" s="17">
        <v>250</v>
      </c>
      <c r="D16" s="16">
        <f>Income[[#This Row],[Jan]]*1.01</f>
        <v>252.5</v>
      </c>
      <c r="E16" s="16">
        <f>Income[[#This Row],[Jan]]*1.01</f>
        <v>252.5</v>
      </c>
      <c r="F16" s="16">
        <f>Income[[#This Row],[Jan]]*1.01</f>
        <v>252.5</v>
      </c>
      <c r="G16" s="16">
        <f>Income[[#This Row],[Jan]]*1.01</f>
        <v>252.5</v>
      </c>
      <c r="H16" s="16">
        <f>Income[[#This Row],[Jan]]*1.01</f>
        <v>252.5</v>
      </c>
      <c r="I16" s="16">
        <f>Income[[#This Row],[Jan]]*1.01</f>
        <v>252.5</v>
      </c>
      <c r="J16" s="16">
        <f>Income[[#This Row],[Jan]]*1.01</f>
        <v>252.5</v>
      </c>
      <c r="K16" s="16">
        <f>Income[[#This Row],[Jan]]*1.01</f>
        <v>252.5</v>
      </c>
      <c r="L16" s="16">
        <f>Income[[#This Row],[Jan]]*1.01</f>
        <v>252.5</v>
      </c>
      <c r="M16" s="16">
        <f>Income[[#This Row],[Jan]]*1.01</f>
        <v>252.5</v>
      </c>
      <c r="N16" s="16">
        <f>Income[[#This Row],[Jan]]*1.01</f>
        <v>252.5</v>
      </c>
      <c r="O16" s="17">
        <f>SUM(Income[[#This Row],[Jan]:[Dec]])</f>
        <v>3027.5</v>
      </c>
      <c r="P16" s="17">
        <f>AVERAGE(Income[[#This Row],[Jan]:[Dec]])</f>
        <v>252.29166666666666</v>
      </c>
    </row>
    <row r="17" spans="2:16" ht="30" customHeight="1" x14ac:dyDescent="0.4">
      <c r="B17" s="16" t="s">
        <v>25</v>
      </c>
      <c r="C17" s="17">
        <v>250</v>
      </c>
      <c r="D17" s="16">
        <f>Income[[#This Row],[Jan]]*1.01</f>
        <v>252.5</v>
      </c>
      <c r="E17" s="16">
        <f>Income[[#This Row],[Jan]]*1.01</f>
        <v>252.5</v>
      </c>
      <c r="F17" s="16">
        <f>Income[[#This Row],[Jan]]*1.01</f>
        <v>252.5</v>
      </c>
      <c r="G17" s="16">
        <f>Income[[#This Row],[Jan]]*1.01</f>
        <v>252.5</v>
      </c>
      <c r="H17" s="16">
        <f>Income[[#This Row],[Jan]]*1.01</f>
        <v>252.5</v>
      </c>
      <c r="I17" s="16">
        <f>Income[[#This Row],[Jan]]*1.01</f>
        <v>252.5</v>
      </c>
      <c r="J17" s="16">
        <f>Income[[#This Row],[Jan]]*1.01</f>
        <v>252.5</v>
      </c>
      <c r="K17" s="16">
        <f>Income[[#This Row],[Jan]]*1.01</f>
        <v>252.5</v>
      </c>
      <c r="L17" s="16">
        <f>Income[[#This Row],[Jan]]*1.01</f>
        <v>252.5</v>
      </c>
      <c r="M17" s="16">
        <f>Income[[#This Row],[Jan]]*1.01</f>
        <v>252.5</v>
      </c>
      <c r="N17" s="16">
        <f>Income[[#This Row],[Jan]]*1.01</f>
        <v>252.5</v>
      </c>
      <c r="O17" s="17">
        <f>SUM(Income[[#This Row],[Jan]:[Dec]])</f>
        <v>3027.5</v>
      </c>
      <c r="P17" s="17">
        <f>AVERAGE(Income[[#This Row],[Jan]:[Dec]])</f>
        <v>252.29166666666666</v>
      </c>
    </row>
    <row r="18" spans="2:16" ht="35" customHeight="1" x14ac:dyDescent="0.4">
      <c r="B18" s="18" t="s">
        <v>20</v>
      </c>
      <c r="C18" s="19">
        <f>SUBTOTAL(109,Income[Jan])</f>
        <v>4000</v>
      </c>
      <c r="D18" s="19">
        <f>SUBTOTAL(109,Income[Feb])</f>
        <v>4040</v>
      </c>
      <c r="E18" s="19">
        <f>SUBTOTAL(109,Income[Mar])</f>
        <v>4040</v>
      </c>
      <c r="F18" s="19">
        <f>SUBTOTAL(109,Income[Apr])</f>
        <v>4040</v>
      </c>
      <c r="G18" s="19">
        <f>SUBTOTAL(109,Income[May])</f>
        <v>4040</v>
      </c>
      <c r="H18" s="19">
        <f>SUBTOTAL(109,Income[Jun])</f>
        <v>4040</v>
      </c>
      <c r="I18" s="19">
        <f>SUBTOTAL(109,Income[Jul])</f>
        <v>4040</v>
      </c>
      <c r="J18" s="19">
        <f>SUBTOTAL(109,Income[Aug])</f>
        <v>4040</v>
      </c>
      <c r="K18" s="19">
        <f>SUBTOTAL(109,Income[Sep])</f>
        <v>4040</v>
      </c>
      <c r="L18" s="19">
        <f>SUBTOTAL(109,Income[Oct])</f>
        <v>4040</v>
      </c>
      <c r="M18" s="19">
        <f>SUBTOTAL(109,Income[Nov])</f>
        <v>4040</v>
      </c>
      <c r="N18" s="19">
        <f>SUBTOTAL(109,Income[Dec])</f>
        <v>4040</v>
      </c>
      <c r="O18" s="19">
        <f>SUBTOTAL(109,Income[Total])</f>
        <v>48440</v>
      </c>
      <c r="P18" s="19">
        <f>SUBTOTAL(101,Income[Average])</f>
        <v>1009.1666666666665</v>
      </c>
    </row>
    <row r="19" spans="2:16" ht="20" customHeight="1" x14ac:dyDescent="0.4"/>
    <row r="20" spans="2:16" ht="60" customHeight="1" x14ac:dyDescent="0.4">
      <c r="B20" s="24" t="s">
        <v>26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ht="35" customHeight="1" x14ac:dyDescent="0.4">
      <c r="B21" s="25" t="s">
        <v>7</v>
      </c>
      <c r="C21" s="25" t="s">
        <v>8</v>
      </c>
      <c r="D21" s="26" t="s">
        <v>9</v>
      </c>
      <c r="E21" s="26" t="s">
        <v>10</v>
      </c>
      <c r="F21" s="26" t="s">
        <v>11</v>
      </c>
      <c r="G21" s="26" t="s">
        <v>12</v>
      </c>
      <c r="H21" s="26" t="s">
        <v>13</v>
      </c>
      <c r="I21" s="26" t="s">
        <v>14</v>
      </c>
      <c r="J21" s="26" t="s">
        <v>15</v>
      </c>
      <c r="K21" s="26" t="s">
        <v>16</v>
      </c>
      <c r="L21" s="26" t="s">
        <v>17</v>
      </c>
      <c r="M21" s="26" t="s">
        <v>18</v>
      </c>
      <c r="N21" s="26" t="s">
        <v>19</v>
      </c>
      <c r="O21" s="26" t="s">
        <v>20</v>
      </c>
      <c r="P21" s="26" t="s">
        <v>21</v>
      </c>
    </row>
    <row r="22" spans="2:16" ht="30" customHeight="1" x14ac:dyDescent="0.4">
      <c r="B22" s="16" t="s">
        <v>27</v>
      </c>
      <c r="C22" s="17">
        <v>800</v>
      </c>
      <c r="D22" s="16">
        <f>Expenses[[#This Row],[Jan]]*1.02</f>
        <v>816</v>
      </c>
      <c r="E22" s="16">
        <f>Expenses[[#This Row],[Jan]]*1.02</f>
        <v>816</v>
      </c>
      <c r="F22" s="16">
        <f>Expenses[[#This Row],[Jan]]*1.02</f>
        <v>816</v>
      </c>
      <c r="G22" s="16">
        <f>Expenses[[#This Row],[Jan]]*1.02</f>
        <v>816</v>
      </c>
      <c r="H22" s="16">
        <f>Expenses[[#This Row],[Jan]]*1.02</f>
        <v>816</v>
      </c>
      <c r="I22" s="16">
        <f>Expenses[[#This Row],[Jan]]*1.02</f>
        <v>816</v>
      </c>
      <c r="J22" s="16">
        <f>Expenses[[#This Row],[Jan]]*1.02</f>
        <v>816</v>
      </c>
      <c r="K22" s="16">
        <f>Expenses[[#This Row],[Jan]]*1.02</f>
        <v>816</v>
      </c>
      <c r="L22" s="16">
        <f>Expenses[[#This Row],[Jan]]*1.02</f>
        <v>816</v>
      </c>
      <c r="M22" s="16">
        <f>Expenses[[#This Row],[Jan]]*1.02</f>
        <v>816</v>
      </c>
      <c r="N22" s="16">
        <f>Expenses[[#This Row],[Jan]]*1.02</f>
        <v>816</v>
      </c>
      <c r="O22" s="17">
        <f>SUM(Expenses[[#This Row],[Jan]:[Dec]])</f>
        <v>9776</v>
      </c>
      <c r="P22" s="17">
        <f>AVERAGE(Expenses[[#This Row],[Jan]:[Dec]])</f>
        <v>814.66666666666663</v>
      </c>
    </row>
    <row r="23" spans="2:16" ht="30" customHeight="1" x14ac:dyDescent="0.4">
      <c r="B23" s="16" t="s">
        <v>28</v>
      </c>
      <c r="C23" s="17">
        <v>120</v>
      </c>
      <c r="D23" s="20">
        <f>Expenses[[#This Row],[Jan]]*1.02</f>
        <v>122.4</v>
      </c>
      <c r="E23" s="20">
        <f>Expenses[[#This Row],[Jan]]*1.02</f>
        <v>122.4</v>
      </c>
      <c r="F23" s="20">
        <f>Expenses[[#This Row],[Jan]]*1.02</f>
        <v>122.4</v>
      </c>
      <c r="G23" s="20">
        <f>Expenses[[#This Row],[Jan]]*1.02</f>
        <v>122.4</v>
      </c>
      <c r="H23" s="20">
        <f>Expenses[[#This Row],[Jan]]*1.02</f>
        <v>122.4</v>
      </c>
      <c r="I23" s="20">
        <f>Expenses[[#This Row],[Jan]]*1.02</f>
        <v>122.4</v>
      </c>
      <c r="J23" s="20">
        <f>Expenses[[#This Row],[Jan]]*1.02</f>
        <v>122.4</v>
      </c>
      <c r="K23" s="20">
        <f>Expenses[[#This Row],[Jan]]*1.02</f>
        <v>122.4</v>
      </c>
      <c r="L23" s="20">
        <f>Expenses[[#This Row],[Jan]]*1.02</f>
        <v>122.4</v>
      </c>
      <c r="M23" s="20">
        <f>Expenses[[#This Row],[Jan]]*1.02</f>
        <v>122.4</v>
      </c>
      <c r="N23" s="20">
        <f>Expenses[[#This Row],[Jan]]*1.02</f>
        <v>122.4</v>
      </c>
      <c r="O23" s="17">
        <f>SUM(Expenses[[#This Row],[Jan]:[Dec]])</f>
        <v>1466.4000000000003</v>
      </c>
      <c r="P23" s="17">
        <f>AVERAGE(Expenses[[#This Row],[Jan]:[Dec]])</f>
        <v>122.20000000000003</v>
      </c>
    </row>
    <row r="24" spans="2:16" ht="30" customHeight="1" x14ac:dyDescent="0.4">
      <c r="B24" s="16" t="s">
        <v>29</v>
      </c>
      <c r="C24" s="17">
        <v>60</v>
      </c>
      <c r="D24" s="20">
        <f>Expenses[[#This Row],[Jan]]*1.02</f>
        <v>61.2</v>
      </c>
      <c r="E24" s="20">
        <f>Expenses[[#This Row],[Jan]]*1.02</f>
        <v>61.2</v>
      </c>
      <c r="F24" s="20">
        <f>Expenses[[#This Row],[Jan]]*1.02</f>
        <v>61.2</v>
      </c>
      <c r="G24" s="20">
        <f>Expenses[[#This Row],[Jan]]*1.02</f>
        <v>61.2</v>
      </c>
      <c r="H24" s="20">
        <f>Expenses[[#This Row],[Jan]]*1.02</f>
        <v>61.2</v>
      </c>
      <c r="I24" s="20">
        <f>Expenses[[#This Row],[Jan]]*1.02</f>
        <v>61.2</v>
      </c>
      <c r="J24" s="20">
        <f>Expenses[[#This Row],[Jan]]*1.02</f>
        <v>61.2</v>
      </c>
      <c r="K24" s="20">
        <f>Expenses[[#This Row],[Jan]]*1.02</f>
        <v>61.2</v>
      </c>
      <c r="L24" s="20">
        <f>Expenses[[#This Row],[Jan]]*1.02</f>
        <v>61.2</v>
      </c>
      <c r="M24" s="20">
        <f>Expenses[[#This Row],[Jan]]*1.02</f>
        <v>61.2</v>
      </c>
      <c r="N24" s="20">
        <f>Expenses[[#This Row],[Jan]]*1.02</f>
        <v>61.2</v>
      </c>
      <c r="O24" s="17">
        <f>SUM(Expenses[[#This Row],[Jan]:[Dec]])</f>
        <v>733.20000000000016</v>
      </c>
      <c r="P24" s="17">
        <f>AVERAGE(Expenses[[#This Row],[Jan]:[Dec]])</f>
        <v>61.100000000000016</v>
      </c>
    </row>
    <row r="25" spans="2:16" ht="30" customHeight="1" x14ac:dyDescent="0.4">
      <c r="B25" s="16" t="s">
        <v>30</v>
      </c>
      <c r="C25" s="17">
        <v>50</v>
      </c>
      <c r="D25" s="20">
        <f>Expenses[[#This Row],[Jan]]*1.02</f>
        <v>51</v>
      </c>
      <c r="E25" s="20">
        <f>Expenses[[#This Row],[Jan]]*1.02</f>
        <v>51</v>
      </c>
      <c r="F25" s="20">
        <f>Expenses[[#This Row],[Jan]]*1.02</f>
        <v>51</v>
      </c>
      <c r="G25" s="20">
        <f>Expenses[[#This Row],[Jan]]*1.02</f>
        <v>51</v>
      </c>
      <c r="H25" s="20">
        <f>Expenses[[#This Row],[Jan]]*1.02</f>
        <v>51</v>
      </c>
      <c r="I25" s="20">
        <f>Expenses[[#This Row],[Jan]]*1.02</f>
        <v>51</v>
      </c>
      <c r="J25" s="20">
        <f>Expenses[[#This Row],[Jan]]*1.02</f>
        <v>51</v>
      </c>
      <c r="K25" s="20">
        <f>Expenses[[#This Row],[Jan]]*1.02</f>
        <v>51</v>
      </c>
      <c r="L25" s="20">
        <f>Expenses[[#This Row],[Jan]]*1.02</f>
        <v>51</v>
      </c>
      <c r="M25" s="20">
        <f>Expenses[[#This Row],[Jan]]*1.02</f>
        <v>51</v>
      </c>
      <c r="N25" s="20">
        <f>Expenses[[#This Row],[Jan]]*1.02</f>
        <v>51</v>
      </c>
      <c r="O25" s="17">
        <f>SUM(Expenses[[#This Row],[Jan]:[Dec]])</f>
        <v>611</v>
      </c>
      <c r="P25" s="17">
        <f>AVERAGE(Expenses[[#This Row],[Jan]:[Dec]])</f>
        <v>50.916666666666664</v>
      </c>
    </row>
    <row r="26" spans="2:16" ht="30" customHeight="1" x14ac:dyDescent="0.4">
      <c r="B26" s="16" t="s">
        <v>31</v>
      </c>
      <c r="C26" s="17">
        <v>45</v>
      </c>
      <c r="D26" s="20">
        <f>Expenses[[#This Row],[Jan]]*1.02</f>
        <v>45.9</v>
      </c>
      <c r="E26" s="20">
        <f>Expenses[[#This Row],[Jan]]*1.02</f>
        <v>45.9</v>
      </c>
      <c r="F26" s="20">
        <f>Expenses[[#This Row],[Jan]]*1.02</f>
        <v>45.9</v>
      </c>
      <c r="G26" s="20">
        <f>Expenses[[#This Row],[Jan]]*1.02</f>
        <v>45.9</v>
      </c>
      <c r="H26" s="20">
        <f>Expenses[[#This Row],[Jan]]*1.02</f>
        <v>45.9</v>
      </c>
      <c r="I26" s="20">
        <f>Expenses[[#This Row],[Jan]]*1.02</f>
        <v>45.9</v>
      </c>
      <c r="J26" s="20">
        <f>Expenses[[#This Row],[Jan]]*1.02</f>
        <v>45.9</v>
      </c>
      <c r="K26" s="20">
        <f>Expenses[[#This Row],[Jan]]*1.02</f>
        <v>45.9</v>
      </c>
      <c r="L26" s="20">
        <f>Expenses[[#This Row],[Jan]]*1.02</f>
        <v>45.9</v>
      </c>
      <c r="M26" s="20">
        <f>Expenses[[#This Row],[Jan]]*1.02</f>
        <v>45.9</v>
      </c>
      <c r="N26" s="20">
        <f>Expenses[[#This Row],[Jan]]*1.02</f>
        <v>45.9</v>
      </c>
      <c r="O26" s="17">
        <f>SUM(Expenses[[#This Row],[Jan]:[Dec]])</f>
        <v>549.89999999999986</v>
      </c>
      <c r="P26" s="17">
        <f>AVERAGE(Expenses[[#This Row],[Jan]:[Dec]])</f>
        <v>45.824999999999989</v>
      </c>
    </row>
    <row r="27" spans="2:16" ht="30" customHeight="1" x14ac:dyDescent="0.4">
      <c r="B27" s="16" t="s">
        <v>32</v>
      </c>
      <c r="C27" s="17">
        <v>500</v>
      </c>
      <c r="D27" s="20">
        <f>Expenses[[#This Row],[Jan]]*1.02</f>
        <v>510</v>
      </c>
      <c r="E27" s="20">
        <f>Expenses[[#This Row],[Jan]]*1.02</f>
        <v>510</v>
      </c>
      <c r="F27" s="20">
        <f>Expenses[[#This Row],[Jan]]*1.02</f>
        <v>510</v>
      </c>
      <c r="G27" s="20">
        <f>Expenses[[#This Row],[Jan]]*1.02</f>
        <v>510</v>
      </c>
      <c r="H27" s="20">
        <f>Expenses[[#This Row],[Jan]]*1.02</f>
        <v>510</v>
      </c>
      <c r="I27" s="20">
        <f>Expenses[[#This Row],[Jan]]*1.02</f>
        <v>510</v>
      </c>
      <c r="J27" s="20">
        <f>Expenses[[#This Row],[Jan]]*1.02</f>
        <v>510</v>
      </c>
      <c r="K27" s="20">
        <f>Expenses[[#This Row],[Jan]]*1.02</f>
        <v>510</v>
      </c>
      <c r="L27" s="20">
        <f>Expenses[[#This Row],[Jan]]*1.02</f>
        <v>510</v>
      </c>
      <c r="M27" s="20">
        <f>Expenses[[#This Row],[Jan]]*1.02</f>
        <v>510</v>
      </c>
      <c r="N27" s="20">
        <f>Expenses[[#This Row],[Jan]]*1.02</f>
        <v>510</v>
      </c>
      <c r="O27" s="17">
        <f>SUM(Expenses[[#This Row],[Jan]:[Dec]])</f>
        <v>6110</v>
      </c>
      <c r="P27" s="17">
        <f>AVERAGE(Expenses[[#This Row],[Jan]:[Dec]])</f>
        <v>509.16666666666669</v>
      </c>
    </row>
    <row r="28" spans="2:16" ht="30" customHeight="1" x14ac:dyDescent="0.4">
      <c r="B28" s="16" t="s">
        <v>33</v>
      </c>
      <c r="C28" s="17">
        <v>273</v>
      </c>
      <c r="D28" s="20">
        <f>Expenses[[#This Row],[Jan]]*1.02</f>
        <v>278.45999999999998</v>
      </c>
      <c r="E28" s="20">
        <f>Expenses[[#This Row],[Jan]]*1.02</f>
        <v>278.45999999999998</v>
      </c>
      <c r="F28" s="20">
        <f>Expenses[[#This Row],[Jan]]*1.02</f>
        <v>278.45999999999998</v>
      </c>
      <c r="G28" s="20">
        <f>Expenses[[#This Row],[Jan]]*1.02</f>
        <v>278.45999999999998</v>
      </c>
      <c r="H28" s="20">
        <f>Expenses[[#This Row],[Jan]]*1.02</f>
        <v>278.45999999999998</v>
      </c>
      <c r="I28" s="20">
        <f>Expenses[[#This Row],[Jan]]*1.02</f>
        <v>278.45999999999998</v>
      </c>
      <c r="J28" s="20">
        <f>Expenses[[#This Row],[Jan]]*1.02</f>
        <v>278.45999999999998</v>
      </c>
      <c r="K28" s="20">
        <f>Expenses[[#This Row],[Jan]]*1.02</f>
        <v>278.45999999999998</v>
      </c>
      <c r="L28" s="20">
        <f>Expenses[[#This Row],[Jan]]*1.02</f>
        <v>278.45999999999998</v>
      </c>
      <c r="M28" s="20">
        <f>Expenses[[#This Row],[Jan]]*1.02</f>
        <v>278.45999999999998</v>
      </c>
      <c r="N28" s="20">
        <f>Expenses[[#This Row],[Jan]]*1.02</f>
        <v>278.45999999999998</v>
      </c>
      <c r="O28" s="17">
        <f>SUM(Expenses[[#This Row],[Jan]:[Dec]])</f>
        <v>3336.0600000000004</v>
      </c>
      <c r="P28" s="17">
        <f>AVERAGE(Expenses[[#This Row],[Jan]:[Dec]])</f>
        <v>278.00500000000005</v>
      </c>
    </row>
    <row r="29" spans="2:16" ht="30" customHeight="1" x14ac:dyDescent="0.4">
      <c r="B29" s="16" t="s">
        <v>34</v>
      </c>
      <c r="C29" s="17">
        <v>120</v>
      </c>
      <c r="D29" s="20">
        <f>Expenses[[#This Row],[Jan]]*1.02</f>
        <v>122.4</v>
      </c>
      <c r="E29" s="20">
        <f>Expenses[[#This Row],[Jan]]*1.02</f>
        <v>122.4</v>
      </c>
      <c r="F29" s="20">
        <f>Expenses[[#This Row],[Jan]]*1.02</f>
        <v>122.4</v>
      </c>
      <c r="G29" s="20">
        <f>Expenses[[#This Row],[Jan]]*1.02</f>
        <v>122.4</v>
      </c>
      <c r="H29" s="20">
        <f>Expenses[[#This Row],[Jan]]*1.02</f>
        <v>122.4</v>
      </c>
      <c r="I29" s="20">
        <f>Expenses[[#This Row],[Jan]]*1.02</f>
        <v>122.4</v>
      </c>
      <c r="J29" s="20">
        <f>Expenses[[#This Row],[Jan]]*1.02</f>
        <v>122.4</v>
      </c>
      <c r="K29" s="20">
        <f>Expenses[[#This Row],[Jan]]*1.02</f>
        <v>122.4</v>
      </c>
      <c r="L29" s="20">
        <f>Expenses[[#This Row],[Jan]]*1.02</f>
        <v>122.4</v>
      </c>
      <c r="M29" s="20">
        <f>Expenses[[#This Row],[Jan]]*1.02</f>
        <v>122.4</v>
      </c>
      <c r="N29" s="20">
        <f>Expenses[[#This Row],[Jan]]*1.02</f>
        <v>122.4</v>
      </c>
      <c r="O29" s="17">
        <f>SUM(Expenses[[#This Row],[Jan]:[Dec]])</f>
        <v>1466.4000000000003</v>
      </c>
      <c r="P29" s="17">
        <f>AVERAGE(Expenses[[#This Row],[Jan]:[Dec]])</f>
        <v>122.20000000000003</v>
      </c>
    </row>
    <row r="30" spans="2:16" ht="30" customHeight="1" x14ac:dyDescent="0.4">
      <c r="B30" s="16" t="s">
        <v>35</v>
      </c>
      <c r="C30" s="17">
        <v>50</v>
      </c>
      <c r="D30" s="20">
        <f>Expenses[[#This Row],[Jan]]*1.02</f>
        <v>51</v>
      </c>
      <c r="E30" s="20">
        <f>Expenses[[#This Row],[Jan]]*1.02</f>
        <v>51</v>
      </c>
      <c r="F30" s="20">
        <f>Expenses[[#This Row],[Jan]]*1.02</f>
        <v>51</v>
      </c>
      <c r="G30" s="20">
        <f>Expenses[[#This Row],[Jan]]*1.02</f>
        <v>51</v>
      </c>
      <c r="H30" s="20">
        <f>Expenses[[#This Row],[Jan]]*1.02</f>
        <v>51</v>
      </c>
      <c r="I30" s="20">
        <f>Expenses[[#This Row],[Jan]]*1.02</f>
        <v>51</v>
      </c>
      <c r="J30" s="20">
        <f>Expenses[[#This Row],[Jan]]*1.02</f>
        <v>51</v>
      </c>
      <c r="K30" s="20">
        <f>Expenses[[#This Row],[Jan]]*1.02</f>
        <v>51</v>
      </c>
      <c r="L30" s="20">
        <f>Expenses[[#This Row],[Jan]]*1.02</f>
        <v>51</v>
      </c>
      <c r="M30" s="20">
        <f>Expenses[[#This Row],[Jan]]*1.02</f>
        <v>51</v>
      </c>
      <c r="N30" s="20">
        <f>Expenses[[#This Row],[Jan]]*1.02</f>
        <v>51</v>
      </c>
      <c r="O30" s="17">
        <f>SUM(Expenses[[#This Row],[Jan]:[Dec]])</f>
        <v>611</v>
      </c>
      <c r="P30" s="17">
        <f>AVERAGE(Expenses[[#This Row],[Jan]:[Dec]])</f>
        <v>50.916666666666664</v>
      </c>
    </row>
    <row r="31" spans="2:16" ht="30" customHeight="1" x14ac:dyDescent="0.4">
      <c r="B31" s="16" t="s">
        <v>36</v>
      </c>
      <c r="C31" s="17">
        <v>100</v>
      </c>
      <c r="D31" s="20">
        <f>Expenses[[#This Row],[Jan]]*1.02</f>
        <v>102</v>
      </c>
      <c r="E31" s="20">
        <f>Expenses[[#This Row],[Jan]]*1.02</f>
        <v>102</v>
      </c>
      <c r="F31" s="20">
        <f>Expenses[[#This Row],[Jan]]*1.02</f>
        <v>102</v>
      </c>
      <c r="G31" s="20">
        <f>Expenses[[#This Row],[Jan]]*1.02</f>
        <v>102</v>
      </c>
      <c r="H31" s="20">
        <f>Expenses[[#This Row],[Jan]]*1.02</f>
        <v>102</v>
      </c>
      <c r="I31" s="20">
        <f>Expenses[[#This Row],[Jan]]*1.02</f>
        <v>102</v>
      </c>
      <c r="J31" s="20">
        <f>Expenses[[#This Row],[Jan]]*1.02</f>
        <v>102</v>
      </c>
      <c r="K31" s="20">
        <f>Expenses[[#This Row],[Jan]]*1.02</f>
        <v>102</v>
      </c>
      <c r="L31" s="20">
        <f>Expenses[[#This Row],[Jan]]*1.02</f>
        <v>102</v>
      </c>
      <c r="M31" s="20">
        <f>Expenses[[#This Row],[Jan]]*1.02</f>
        <v>102</v>
      </c>
      <c r="N31" s="20">
        <f>Expenses[[#This Row],[Jan]]*1.02</f>
        <v>102</v>
      </c>
      <c r="O31" s="17">
        <f>SUM(Expenses[[#This Row],[Jan]:[Dec]])</f>
        <v>1222</v>
      </c>
      <c r="P31" s="17">
        <f>AVERAGE(Expenses[[#This Row],[Jan]:[Dec]])</f>
        <v>101.83333333333333</v>
      </c>
    </row>
    <row r="32" spans="2:16" ht="30" customHeight="1" x14ac:dyDescent="0.4">
      <c r="B32" s="16" t="s">
        <v>37</v>
      </c>
      <c r="C32" s="17">
        <v>78</v>
      </c>
      <c r="D32" s="20">
        <f>Expenses[[#This Row],[Jan]]*1.02</f>
        <v>79.56</v>
      </c>
      <c r="E32" s="20">
        <f>Expenses[[#This Row],[Jan]]*1.02</f>
        <v>79.56</v>
      </c>
      <c r="F32" s="20">
        <f>Expenses[[#This Row],[Jan]]*1.02</f>
        <v>79.56</v>
      </c>
      <c r="G32" s="20">
        <f>Expenses[[#This Row],[Jan]]*1.02</f>
        <v>79.56</v>
      </c>
      <c r="H32" s="20">
        <f>Expenses[[#This Row],[Jan]]*1.02</f>
        <v>79.56</v>
      </c>
      <c r="I32" s="20">
        <f>Expenses[[#This Row],[Jan]]*1.02</f>
        <v>79.56</v>
      </c>
      <c r="J32" s="20">
        <f>Expenses[[#This Row],[Jan]]*1.02</f>
        <v>79.56</v>
      </c>
      <c r="K32" s="20">
        <f>Expenses[[#This Row],[Jan]]*1.02</f>
        <v>79.56</v>
      </c>
      <c r="L32" s="20">
        <f>Expenses[[#This Row],[Jan]]*1.02</f>
        <v>79.56</v>
      </c>
      <c r="M32" s="20">
        <f>Expenses[[#This Row],[Jan]]*1.02</f>
        <v>79.56</v>
      </c>
      <c r="N32" s="20">
        <f>Expenses[[#This Row],[Jan]]*1.02</f>
        <v>79.56</v>
      </c>
      <c r="O32" s="17">
        <f>SUM(Expenses[[#This Row],[Jan]:[Dec]])</f>
        <v>953.15999999999985</v>
      </c>
      <c r="P32" s="17">
        <f>AVERAGE(Expenses[[#This Row],[Jan]:[Dec]])</f>
        <v>79.429999999999993</v>
      </c>
    </row>
    <row r="33" spans="2:16" ht="30" customHeight="1" x14ac:dyDescent="0.4">
      <c r="B33" s="16" t="s">
        <v>38</v>
      </c>
      <c r="C33" s="17">
        <v>50</v>
      </c>
      <c r="D33" s="20">
        <f>Expenses[[#This Row],[Jan]]*1.02</f>
        <v>51</v>
      </c>
      <c r="E33" s="20">
        <f>Expenses[[#This Row],[Jan]]*1.02</f>
        <v>51</v>
      </c>
      <c r="F33" s="20">
        <f>Expenses[[#This Row],[Jan]]*1.02</f>
        <v>51</v>
      </c>
      <c r="G33" s="20">
        <f>Expenses[[#This Row],[Jan]]*1.02</f>
        <v>51</v>
      </c>
      <c r="H33" s="20">
        <f>Expenses[[#This Row],[Jan]]*1.02</f>
        <v>51</v>
      </c>
      <c r="I33" s="20">
        <f>Expenses[[#This Row],[Jan]]*1.02</f>
        <v>51</v>
      </c>
      <c r="J33" s="20">
        <f>Expenses[[#This Row],[Jan]]*1.02</f>
        <v>51</v>
      </c>
      <c r="K33" s="20">
        <f>Expenses[[#This Row],[Jan]]*1.02</f>
        <v>51</v>
      </c>
      <c r="L33" s="20">
        <f>Expenses[[#This Row],[Jan]]*1.02</f>
        <v>51</v>
      </c>
      <c r="M33" s="20">
        <f>Expenses[[#This Row],[Jan]]*1.02</f>
        <v>51</v>
      </c>
      <c r="N33" s="20">
        <f>Expenses[[#This Row],[Jan]]*1.02</f>
        <v>51</v>
      </c>
      <c r="O33" s="17">
        <f>SUM(Expenses[[#This Row],[Jan]:[Dec]])</f>
        <v>611</v>
      </c>
      <c r="P33" s="17">
        <f>AVERAGE(Expenses[[#This Row],[Jan]:[Dec]])</f>
        <v>50.916666666666664</v>
      </c>
    </row>
    <row r="34" spans="2:16" ht="30" customHeight="1" x14ac:dyDescent="0.4">
      <c r="B34" s="16" t="s">
        <v>39</v>
      </c>
      <c r="C34" s="17">
        <v>100</v>
      </c>
      <c r="D34" s="20">
        <f>Expenses[[#This Row],[Jan]]*1.02</f>
        <v>102</v>
      </c>
      <c r="E34" s="20">
        <f>Expenses[[#This Row],[Jan]]*1.02</f>
        <v>102</v>
      </c>
      <c r="F34" s="20">
        <f>Expenses[[#This Row],[Jan]]*1.02</f>
        <v>102</v>
      </c>
      <c r="G34" s="20">
        <f>Expenses[[#This Row],[Jan]]*1.02</f>
        <v>102</v>
      </c>
      <c r="H34" s="20">
        <f>Expenses[[#This Row],[Jan]]*1.02</f>
        <v>102</v>
      </c>
      <c r="I34" s="20">
        <f>Expenses[[#This Row],[Jan]]*1.02</f>
        <v>102</v>
      </c>
      <c r="J34" s="20">
        <f>Expenses[[#This Row],[Jan]]*1.02</f>
        <v>102</v>
      </c>
      <c r="K34" s="20">
        <f>Expenses[[#This Row],[Jan]]*1.02</f>
        <v>102</v>
      </c>
      <c r="L34" s="20">
        <f>Expenses[[#This Row],[Jan]]*1.02</f>
        <v>102</v>
      </c>
      <c r="M34" s="20">
        <f>Expenses[[#This Row],[Jan]]*1.02</f>
        <v>102</v>
      </c>
      <c r="N34" s="20">
        <f>Expenses[[#This Row],[Jan]]*1.02</f>
        <v>102</v>
      </c>
      <c r="O34" s="17">
        <f>SUM(Expenses[[#This Row],[Jan]:[Dec]])</f>
        <v>1222</v>
      </c>
      <c r="P34" s="17">
        <f>AVERAGE(Expenses[[#This Row],[Jan]:[Dec]])</f>
        <v>101.83333333333333</v>
      </c>
    </row>
    <row r="35" spans="2:16" ht="30" customHeight="1" x14ac:dyDescent="0.4">
      <c r="B35" s="16" t="s">
        <v>40</v>
      </c>
      <c r="C35" s="17">
        <v>50</v>
      </c>
      <c r="D35" s="20">
        <f>Expenses[[#This Row],[Jan]]*1.02</f>
        <v>51</v>
      </c>
      <c r="E35" s="20">
        <f>Expenses[[#This Row],[Jan]]*1.02</f>
        <v>51</v>
      </c>
      <c r="F35" s="20">
        <f>Expenses[[#This Row],[Jan]]*1.02</f>
        <v>51</v>
      </c>
      <c r="G35" s="20">
        <f>Expenses[[#This Row],[Jan]]*1.02</f>
        <v>51</v>
      </c>
      <c r="H35" s="20">
        <f>Expenses[[#This Row],[Jan]]*1.02</f>
        <v>51</v>
      </c>
      <c r="I35" s="20">
        <f>Expenses[[#This Row],[Jan]]*1.02</f>
        <v>51</v>
      </c>
      <c r="J35" s="20">
        <f>Expenses[[#This Row],[Jan]]*1.02</f>
        <v>51</v>
      </c>
      <c r="K35" s="20">
        <f>Expenses[[#This Row],[Jan]]*1.02</f>
        <v>51</v>
      </c>
      <c r="L35" s="20">
        <f>Expenses[[#This Row],[Jan]]*1.02</f>
        <v>51</v>
      </c>
      <c r="M35" s="20">
        <f>Expenses[[#This Row],[Jan]]*1.02</f>
        <v>51</v>
      </c>
      <c r="N35" s="20">
        <f>Expenses[[#This Row],[Jan]]*1.02</f>
        <v>51</v>
      </c>
      <c r="O35" s="17">
        <f>SUM(Expenses[[#This Row],[Jan]:[Dec]])</f>
        <v>611</v>
      </c>
      <c r="P35" s="17">
        <f>AVERAGE(Expenses[[#This Row],[Jan]:[Dec]])</f>
        <v>50.916666666666664</v>
      </c>
    </row>
    <row r="36" spans="2:16" ht="30" customHeight="1" x14ac:dyDescent="0.4">
      <c r="B36" s="16" t="s">
        <v>41</v>
      </c>
      <c r="C36" s="21">
        <v>10</v>
      </c>
      <c r="D36" s="20">
        <f>Expenses[[#This Row],[Jan]]*1.02</f>
        <v>10.199999999999999</v>
      </c>
      <c r="E36" s="20">
        <f>Expenses[[#This Row],[Jan]]*1.02</f>
        <v>10.199999999999999</v>
      </c>
      <c r="F36" s="20">
        <f>Expenses[[#This Row],[Jan]]*1.02</f>
        <v>10.199999999999999</v>
      </c>
      <c r="G36" s="20">
        <f>Expenses[[#This Row],[Jan]]*1.02</f>
        <v>10.199999999999999</v>
      </c>
      <c r="H36" s="20">
        <f>Expenses[[#This Row],[Jan]]*1.02</f>
        <v>10.199999999999999</v>
      </c>
      <c r="I36" s="20">
        <f>Expenses[[#This Row],[Jan]]*1.02</f>
        <v>10.199999999999999</v>
      </c>
      <c r="J36" s="20">
        <f>Expenses[[#This Row],[Jan]]*1.02</f>
        <v>10.199999999999999</v>
      </c>
      <c r="K36" s="20">
        <f>Expenses[[#This Row],[Jan]]*1.02</f>
        <v>10.199999999999999</v>
      </c>
      <c r="L36" s="20">
        <f>Expenses[[#This Row],[Jan]]*1.02</f>
        <v>10.199999999999999</v>
      </c>
      <c r="M36" s="20">
        <f>Expenses[[#This Row],[Jan]]*1.02</f>
        <v>10.199999999999999</v>
      </c>
      <c r="N36" s="20">
        <f>Expenses[[#This Row],[Jan]]*1.02</f>
        <v>10.199999999999999</v>
      </c>
      <c r="O36" s="17">
        <f>SUM(Expenses[[#This Row],[Jan]:[Dec]])</f>
        <v>122.20000000000002</v>
      </c>
      <c r="P36" s="17">
        <f>AVERAGE(Expenses[[#This Row],[Jan]:[Dec]])</f>
        <v>10.183333333333335</v>
      </c>
    </row>
    <row r="37" spans="2:16" ht="30" customHeight="1" x14ac:dyDescent="0.4">
      <c r="B37" s="16" t="s">
        <v>42</v>
      </c>
      <c r="C37" s="21">
        <v>50</v>
      </c>
      <c r="D37" s="20">
        <f>Expenses[[#This Row],[Jan]]*1.02</f>
        <v>51</v>
      </c>
      <c r="E37" s="20">
        <f>Expenses[[#This Row],[Jan]]*1.02</f>
        <v>51</v>
      </c>
      <c r="F37" s="20">
        <f>Expenses[[#This Row],[Jan]]*1.02</f>
        <v>51</v>
      </c>
      <c r="G37" s="20">
        <f>Expenses[[#This Row],[Jan]]*1.02</f>
        <v>51</v>
      </c>
      <c r="H37" s="20">
        <f>Expenses[[#This Row],[Jan]]*1.02</f>
        <v>51</v>
      </c>
      <c r="I37" s="20">
        <f>Expenses[[#This Row],[Jan]]*1.02</f>
        <v>51</v>
      </c>
      <c r="J37" s="20">
        <f>Expenses[[#This Row],[Jan]]*1.02</f>
        <v>51</v>
      </c>
      <c r="K37" s="20">
        <f>Expenses[[#This Row],[Jan]]*1.02</f>
        <v>51</v>
      </c>
      <c r="L37" s="20">
        <f>Expenses[[#This Row],[Jan]]*1.02</f>
        <v>51</v>
      </c>
      <c r="M37" s="20">
        <f>Expenses[[#This Row],[Jan]]*1.02</f>
        <v>51</v>
      </c>
      <c r="N37" s="20">
        <f>Expenses[[#This Row],[Jan]]*1.02</f>
        <v>51</v>
      </c>
      <c r="O37" s="17">
        <f>SUM(Expenses[[#This Row],[Jan]:[Dec]])</f>
        <v>611</v>
      </c>
      <c r="P37" s="17">
        <f>AVERAGE(Expenses[[#This Row],[Jan]:[Dec]])</f>
        <v>50.916666666666664</v>
      </c>
    </row>
    <row r="38" spans="2:16" ht="30" customHeight="1" x14ac:dyDescent="0.4">
      <c r="B38" s="16" t="s">
        <v>25</v>
      </c>
      <c r="C38" s="21">
        <v>20</v>
      </c>
      <c r="D38" s="20">
        <f>Expenses[[#This Row],[Jan]]*1.02</f>
        <v>20.399999999999999</v>
      </c>
      <c r="E38" s="20">
        <f>Expenses[[#This Row],[Jan]]*1.02</f>
        <v>20.399999999999999</v>
      </c>
      <c r="F38" s="20">
        <f>Expenses[[#This Row],[Jan]]*1.02</f>
        <v>20.399999999999999</v>
      </c>
      <c r="G38" s="20">
        <f>Expenses[[#This Row],[Jan]]*1.02</f>
        <v>20.399999999999999</v>
      </c>
      <c r="H38" s="20">
        <f>Expenses[[#This Row],[Jan]]*1.02</f>
        <v>20.399999999999999</v>
      </c>
      <c r="I38" s="20">
        <f>Expenses[[#This Row],[Jan]]*1.02</f>
        <v>20.399999999999999</v>
      </c>
      <c r="J38" s="20">
        <f>Expenses[[#This Row],[Jan]]*1.02</f>
        <v>20.399999999999999</v>
      </c>
      <c r="K38" s="20">
        <f>Expenses[[#This Row],[Jan]]*1.02</f>
        <v>20.399999999999999</v>
      </c>
      <c r="L38" s="20">
        <f>Expenses[[#This Row],[Jan]]*1.02</f>
        <v>20.399999999999999</v>
      </c>
      <c r="M38" s="20">
        <f>Expenses[[#This Row],[Jan]]*1.02</f>
        <v>20.399999999999999</v>
      </c>
      <c r="N38" s="20">
        <f>Expenses[[#This Row],[Jan]]*1.02</f>
        <v>20.399999999999999</v>
      </c>
      <c r="O38" s="17">
        <f>SUM(Expenses[[#This Row],[Jan]:[Dec]])</f>
        <v>244.40000000000003</v>
      </c>
      <c r="P38" s="17">
        <f>AVERAGE(Expenses[[#This Row],[Jan]:[Dec]])</f>
        <v>20.366666666666671</v>
      </c>
    </row>
    <row r="39" spans="2:16" ht="30" customHeight="1" x14ac:dyDescent="0.4">
      <c r="B39" s="18" t="s">
        <v>20</v>
      </c>
      <c r="C39" s="19">
        <f>SUBTOTAL(109,Expenses[Jan])</f>
        <v>2476</v>
      </c>
      <c r="D39" s="19">
        <f>SUBTOTAL(109,Expenses[Feb])</f>
        <v>2525.52</v>
      </c>
      <c r="E39" s="19">
        <f>SUBTOTAL(109,Expenses[Mar])</f>
        <v>2525.52</v>
      </c>
      <c r="F39" s="19">
        <f>SUBTOTAL(109,Expenses[Apr])</f>
        <v>2525.52</v>
      </c>
      <c r="G39" s="19">
        <f>SUBTOTAL(109,Expenses[May])</f>
        <v>2525.52</v>
      </c>
      <c r="H39" s="19">
        <f>SUBTOTAL(109,Expenses[Jun])</f>
        <v>2525.52</v>
      </c>
      <c r="I39" s="19">
        <f>SUBTOTAL(109,Expenses[Jul])</f>
        <v>2525.52</v>
      </c>
      <c r="J39" s="19">
        <f>SUBTOTAL(109,Expenses[Aug])</f>
        <v>2525.52</v>
      </c>
      <c r="K39" s="19">
        <f>SUBTOTAL(109,Expenses[Sep])</f>
        <v>2525.52</v>
      </c>
      <c r="L39" s="19">
        <f>SUBTOTAL(109,Expenses[Oct])</f>
        <v>2525.52</v>
      </c>
      <c r="M39" s="19">
        <f>SUBTOTAL(109,Expenses[Nov])</f>
        <v>2525.52</v>
      </c>
      <c r="N39" s="19">
        <f>SUBTOTAL(109,Expenses[Dec])</f>
        <v>2525.52</v>
      </c>
      <c r="O39" s="19">
        <f>SUBTOTAL(109,Expenses[Total])</f>
        <v>30256.720000000005</v>
      </c>
      <c r="P39" s="19">
        <f>SUBTOTAL(101,Expenses[Average])</f>
        <v>148.31725490196078</v>
      </c>
    </row>
    <row r="40" spans="2:16" ht="30" customHeight="1" x14ac:dyDescent="0.4"/>
    <row r="41" spans="2:16" ht="30" customHeight="1" x14ac:dyDescent="0.4"/>
    <row r="42" spans="2:16" ht="30" customHeight="1" x14ac:dyDescent="0.4"/>
    <row r="43" spans="2:16" ht="30" customHeight="1" x14ac:dyDescent="0.4"/>
    <row r="44" spans="2:16" ht="30" customHeight="1" x14ac:dyDescent="0.4"/>
    <row r="45" spans="2:16" ht="30" customHeight="1" x14ac:dyDescent="0.4"/>
    <row r="46" spans="2:16" ht="30" customHeight="1" x14ac:dyDescent="0.4"/>
    <row r="47" spans="2:16" ht="30" customHeight="1" x14ac:dyDescent="0.4"/>
    <row r="48" spans="2:16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</sheetData>
  <dataValidations count="13">
    <dataValidation allowBlank="1" showInputMessage="1" showErrorMessage="1" prompt="Total monthly income and Total monthly expenses are automatically updated in cells below" sqref="C4" xr:uid="{EA3F2DA6-B81E-45B4-8811-21D9AC2BEA76}"/>
    <dataValidation allowBlank="1" showInputMessage="1" showErrorMessage="1" prompt="Total Monthly Expenses are automatically updated in cell at right" sqref="B6" xr:uid="{704F04AA-25DB-4945-8B92-4A997AB98901}"/>
    <dataValidation allowBlank="1" showInputMessage="1" showErrorMessage="1" prompt="Total Monthly Expenses are automatically updated in this cell" sqref="C6" xr:uid="{DAEF132B-84E4-40C6-AA80-2F9AEED9474F}"/>
    <dataValidation allowBlank="1" showInputMessage="1" showErrorMessage="1" prompt="Total Monthly Income is automatically updated in cell at right" sqref="B5" xr:uid="{7AA3950C-92AC-41A8-9DDB-31248048F7EF}"/>
    <dataValidation allowBlank="1" showInputMessage="1" showErrorMessage="1" prompt="Total Monthly Income is automatically updated in this cell" sqref="C5" xr:uid="{C3E92B2C-5748-43E5-B26F-E7323AA578DF}"/>
    <dataValidation allowBlank="1" showInputMessage="1" showErrorMessage="1" prompt="Balance amount is automatically calculated in cell at right " sqref="B8" xr:uid="{121AAFE8-232A-4F2A-9793-4BDED66571EB}"/>
    <dataValidation allowBlank="1" showInputMessage="1" showErrorMessage="1" prompt="Balance amount is automatically calculated in this cell" sqref="C8" xr:uid="{9490848A-6F11-4166-ACF4-7F49C58C0FCA}"/>
    <dataValidation allowBlank="1" showInputMessage="1" showErrorMessage="1" prompt="Enter Monthly Income Items in this column under this heading" sqref="B13" xr:uid="{AF40F059-1EDB-4FB7-A177-3E9D5CDB6B4A}"/>
    <dataValidation allowBlank="1" showInputMessage="1" showErrorMessage="1" prompt="Enter Amount in this column under this heading" sqref="C21 C13" xr:uid="{BF7067A3-798B-4D64-9DD4-4A4076087F61}"/>
    <dataValidation allowBlank="1" showInputMessage="1" showErrorMessage="1" prompt="Enter Monthly Expense Items in this column under this heading" sqref="B21" xr:uid="{35829B6D-9AE6-417F-B139-89BCD1D3EAC8}"/>
    <dataValidation allowBlank="1" showInputMessage="1" showErrorMessage="1" prompt="Title of this worksheet is in this cell. Enter Monthly Income in Income table and Monthly Expenses in Expenses table" sqref="B2" xr:uid="{1797785A-52F5-43A6-9CAA-8E37AC066484}"/>
    <dataValidation allowBlank="1" showInputMessage="1" showErrorMessage="1" prompt="Percentage of income spent is automatically calculated in cell to the right" sqref="B10" xr:uid="{9CD41BD3-B321-432C-A523-F75576B10754}"/>
    <dataValidation allowBlank="1" showInputMessage="1" showErrorMessage="1" prompt="Percentage of income spent is automatically calculated in this cell" sqref="C10" xr:uid="{5B0BB620-2E3C-47B4-9073-A157E7686EF5}"/>
  </dataValidations>
  <pageMargins left="0.7" right="0.7" top="0.75" bottom="0.75" header="0.3" footer="0.3"/>
  <pageSetup scale="49" fitToHeight="2" orientation="landscape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34763-E59C-4533-B750-8519CA2A01FD}">
  <ds:schemaRefs>
    <ds:schemaRef ds:uri="http://schemas.microsoft.com/office/2006/metadata/properties"/>
    <ds:schemaRef ds:uri="http://schemas.microsoft.com/office/infopath/2007/PartnerControls"/>
    <ds:schemaRef ds:uri="71af3243-3dd4-4a8d-8c0d-dd76da1f02a5"/>
    <ds:schemaRef ds:uri="http://schemas.microsoft.com/sharepoint/v3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FACB1419-9396-42A5-AD84-E7CBCBABD0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C7436-CC2B-4C1C-9D1D-383A1AA21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TM22605629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by 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2023-11-06T06:53:42Z</dcterms:created>
  <dcterms:modified xsi:type="dcterms:W3CDTF">2026-05-26T19:19:19Z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