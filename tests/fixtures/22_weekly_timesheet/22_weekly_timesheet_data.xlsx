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Sheet" sheetId="1" state="visible" r:id="rId3"/>
  </sheets>
  <definedNames>
    <definedName function="false" hidden="false" localSheetId="0" name="_xlnm.Print_Area" vbProcedure="false">TimeSheet!$B$2:$L$33</definedName>
    <definedName function="false" hidden="false" name="Week_Starting" vbProcedure="false">TimeSheet!$I$6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<sst xmlns="http://schemas.openxmlformats.org/spreadsheetml/2006/main" count="46" uniqueCount="35">
  <si>
    <t xml:space="preserve">  TIME SHEET  </t>
  </si>
  <si>
    <t xml:space="preserve">NOD PUBLISHERS</t>
  </si>
  <si>
    <t xml:space="preserve">222 2nd Ave</t>
  </si>
  <si>
    <t xml:space="preserve">Employee name:</t>
  </si>
  <si>
    <t xml:space="preserve">Shir Rosenstein</t>
  </si>
  <si>
    <t xml:space="preserve">Apt. 100</t>
  </si>
  <si>
    <t xml:space="preserve">Manager name:</t>
  </si>
  <si>
    <t xml:space="preserve">Naoki Kaneko</t>
  </si>
  <si>
    <t xml:space="preserve">Bellevue, WA 54321</t>
  </si>
  <si>
    <t xml:space="preserve">Week starting:</t>
  </si>
  <si>
    <t xml:space="preserve">(502) 555-0123</t>
  </si>
  <si>
    <t xml:space="preserve">Day of week</t>
  </si>
  <si>
    <t xml:space="preserve">Time in</t>
  </si>
  <si>
    <t xml:space="preserve">Breaks
(minutes)</t>
  </si>
  <si>
    <t xml:space="preserve">Time out</t>
  </si>
  <si>
    <t xml:space="preserve">Total
[h]:mm</t>
  </si>
  <si>
    <t xml:space="preserve">Regular
[h]:mm</t>
  </si>
  <si>
    <t xml:space="preserve">Overtime
[h]:mm</t>
  </si>
  <si>
    <t xml:space="preserve">Sick
[h]:mm</t>
  </si>
  <si>
    <t xml:space="preserve"> Holiday
[h]:mm</t>
  </si>
  <si>
    <t xml:space="preserve">Vacation
[h]:mm</t>
  </si>
  <si>
    <t xml:space="preserve">Total</t>
  </si>
  <si>
    <t xml:space="preserve">Holiday
[h]:mm</t>
  </si>
  <si>
    <t xml:space="preserve"> </t>
  </si>
  <si>
    <t xml:space="preserve">Regular</t>
  </si>
  <si>
    <t xml:space="preserve">Overtime</t>
  </si>
  <si>
    <t xml:space="preserve">Sick</t>
  </si>
  <si>
    <t xml:space="preserve">Holiday</t>
  </si>
  <si>
    <t xml:space="preserve">Vacation</t>
  </si>
  <si>
    <t xml:space="preserve">Rate/hr:</t>
  </si>
  <si>
    <t xml:space="preserve">Employee Signature</t>
  </si>
  <si>
    <t xml:space="preserve">Date</t>
  </si>
  <si>
    <t xml:space="preserve">Total pay:</t>
  </si>
  <si>
    <t xml:space="preserve">Manager Signature</t>
  </si>
  <si>
    <t xml:space="preserve">Grand total pay:</t>
  </si>
</sst>
</file>

<file path=xl/styles.xml><?xml version="1.0" encoding="utf-8"?>
<styleSheet xmlns="http://schemas.openxmlformats.org/spreadsheetml/2006/main">
  <numFmts count="8">
    <numFmt numFmtId="164" formatCode="General"/>
    <numFmt numFmtId="165" formatCode="m/d/yyyy"/>
    <numFmt numFmtId="166" formatCode="[&lt;=9999999]###\-####;\(###&quot;) &quot;###\-####"/>
    <numFmt numFmtId="167" formatCode="ddd\ m/d"/>
    <numFmt numFmtId="168" formatCode="[$-409]h:mm\ AM/PM;@"/>
    <numFmt numFmtId="169" formatCode="[h]:mm"/>
    <numFmt numFmtId="170" formatCode="_(* #,##0.00_);_(* \(#,##0.00\);_(* \-??_);_(@_)"/>
    <numFmt numFmtId="171" formatCode="_(\$* #,##0.00_);_(\$* \(#,##0.00\);_(\$* \-??_);_(@_)"/>
  </numFmts>
  <fonts count="24">
    <font>
      <sz val="10"/>
      <name val="Arial"/>
      <family val="2"/>
      <charset val="1"/>
    </font>
    <font>
      <sz val="10"/>
      <name val="Arial"/>
      <family val="0"/>
    </font>
    <font>
      <sz val="10"/>
      <name val="Arial"/>
      <family val="0"/>
    </font>
    <font>
      <sz val="10"/>
      <name val="Arial"/>
      <family val="0"/>
    </font>
    <font>
      <b val="true"/>
      <sz val="11"/>
      <name val="Arial"/>
      <family val="2"/>
      <charset val="1"/>
    </font>
    <font>
      <sz val="10"/>
      <color theme="0"/>
      <name val="Arial"/>
      <family val="2"/>
      <charset val="1"/>
    </font>
    <font>
      <b val="true"/>
      <sz val="32"/>
      <color theme="4"/>
      <name val="Arial"/>
      <family val="2"/>
      <charset val="1"/>
    </font>
    <font>
      <b val="true"/>
      <sz val="36"/>
      <color theme="4" tint="-0.25"/>
      <name val="Arial"/>
      <family val="2"/>
      <charset val="1"/>
    </font>
    <font>
      <sz val="32"/>
      <color theme="5"/>
      <name val="Arial"/>
      <family val="2"/>
      <charset val="1"/>
    </font>
    <font>
      <b val="true"/>
      <sz val="20"/>
      <color theme="4" tint="-0.5"/>
      <name val="Arial"/>
      <family val="2"/>
      <charset val="1"/>
    </font>
    <font>
      <b val="true"/>
      <sz val="36"/>
      <color theme="5"/>
      <name val="Arial"/>
      <family val="2"/>
      <charset val="1"/>
    </font>
    <font>
      <b val="true"/>
      <sz val="20"/>
      <color theme="5"/>
      <name val="Arial"/>
      <family val="2"/>
      <charset val="1"/>
    </font>
    <font>
      <b val="true"/>
      <sz val="10"/>
      <color theme="5"/>
      <name val="Arial"/>
      <family val="2"/>
      <charset val="1"/>
    </font>
    <font>
      <sz val="10"/>
      <color theme="5"/>
      <name val="Arial"/>
      <family val="2"/>
      <charset val="1"/>
    </font>
    <font>
      <b val="true"/>
      <sz val="10"/>
      <color theme="1" tint="0.3499"/>
      <name val="Arial"/>
      <family val="2"/>
      <charset val="1"/>
    </font>
    <font>
      <u val="single"/>
      <sz val="10"/>
      <color rgb="FF0000FF"/>
      <name val="Arial"/>
      <family val="2"/>
      <charset val="1"/>
    </font>
    <font>
      <sz val="10"/>
      <color theme="1" tint="0.4999"/>
      <name val="Arial"/>
      <family val="2"/>
      <charset val="1"/>
    </font>
    <font>
      <sz val="10"/>
      <color theme="1" tint="0.3499"/>
      <name val="Arial"/>
      <family val="2"/>
      <charset val="1"/>
    </font>
    <font>
      <b val="true"/>
      <sz val="8"/>
      <color rgb="FFFFFFFF"/>
      <name val="Arial"/>
      <family val="2"/>
      <charset val="1"/>
    </font>
    <font>
      <b val="true"/>
      <sz val="8"/>
      <name val="Arial"/>
      <family val="2"/>
      <charset val="1"/>
    </font>
    <font>
      <b val="true"/>
      <sz val="8"/>
      <color theme="5"/>
      <name val="Arial"/>
      <family val="2"/>
      <charset val="1"/>
    </font>
    <font>
      <sz val="8"/>
      <color theme="5"/>
      <name val="Arial"/>
      <family val="2"/>
      <charset val="1"/>
    </font>
    <font>
      <b val="true"/>
      <sz val="10"/>
      <name val="Arial"/>
      <family val="2"/>
      <charset val="1"/>
    </font>
    <font>
      <sz val="8"/>
      <name val="Arial"/>
      <family val="2"/>
      <charset val="1"/>
    </font>
  </fonts>
  <fills count="4">
    <fill>
      <patternFill patternType="none"/>
    </fill>
    <fill>
      <patternFill patternType="gray125"/>
    </fill>
    <fill>
      <patternFill patternType="solid">
        <fgColor theme="4"/>
        <bgColor rgb="FFFEF2F2"/>
      </patternFill>
    </fill>
    <fill>
      <patternFill patternType="solid">
        <fgColor theme="5"/>
        <bgColor rgb="FF333399"/>
      </patternFill>
    </fill>
  </fills>
  <borders count="32">
    <border diagonalUp="false" diagonalDown="false">
      <left/>
      <right/>
      <top/>
      <bottom/>
      <diagonal/>
    </border>
    <border diagonalUp="false" diagonalDown="false">
      <left/>
      <right/>
      <top/>
      <bottom style="thin"/>
      <diagonal/>
    </border>
    <border diagonalUp="false" diagonalDown="false">
      <left style="thick">
        <color rgb="FF002CB8"/>
      </left>
      <right style="thick">
        <color rgb="FF002CB8"/>
      </right>
      <top style="thick">
        <color rgb="FF002CB8"/>
      </top>
      <bottom style="thick">
        <color rgb="FF002CB8"/>
      </bottom>
      <diagonal/>
    </border>
    <border diagonalUp="false" diagonalDown="false">
      <left/>
      <right/>
      <top/>
      <bottom style="thin">
        <color rgb="FF002CB8"/>
      </bottom>
      <diagonal/>
    </border>
    <border diagonalUp="false" diagonalDown="false">
      <left style="thin">
        <color rgb="FFFDDFDF"/>
      </left>
      <right/>
      <top/>
      <bottom/>
      <diagonal/>
    </border>
    <border diagonalUp="false" diagonalDown="false">
      <left/>
      <right/>
      <top style="thin">
        <color rgb="FF002CB8"/>
      </top>
      <bottom style="thin">
        <color rgb="FF002CB8"/>
      </bottom>
      <diagonal/>
    </border>
    <border diagonalUp="false" diagonalDown="false">
      <left/>
      <right/>
      <top style="thin">
        <color rgb="FF002CB8"/>
      </top>
      <bottom/>
      <diagonal/>
    </border>
    <border diagonalUp="false" diagonalDown="false">
      <left/>
      <right style="thin">
        <color rgb="FFFDDFDF"/>
      </right>
      <top/>
      <bottom/>
      <diagonal/>
    </border>
    <border diagonalUp="false" diagonalDown="false">
      <left style="thick">
        <color rgb="FF002CB8"/>
      </left>
      <right/>
      <top style="thick">
        <color rgb="FF002CB8"/>
      </top>
      <bottom/>
      <diagonal/>
    </border>
    <border diagonalUp="false" diagonalDown="false">
      <left/>
      <right/>
      <top style="thick">
        <color rgb="FF002CB8"/>
      </top>
      <bottom/>
      <diagonal/>
    </border>
    <border diagonalUp="false" diagonalDown="false">
      <left/>
      <right style="thick">
        <color rgb="FF002CB8"/>
      </right>
      <top style="thick">
        <color rgb="FF002CB8"/>
      </top>
      <bottom/>
      <diagonal/>
    </border>
    <border diagonalUp="false" diagonalDown="false">
      <left/>
      <right style="double">
        <color rgb="FF002CB8"/>
      </right>
      <top/>
      <bottom/>
      <diagonal/>
    </border>
    <border diagonalUp="false" diagonalDown="false">
      <left style="double">
        <color rgb="FF002CB8"/>
      </left>
      <right/>
      <top/>
      <bottom style="thin">
        <color rgb="FF002CB8"/>
      </bottom>
      <diagonal/>
    </border>
    <border diagonalUp="false" diagonalDown="false">
      <left style="thick">
        <color rgb="FF002CB8"/>
      </left>
      <right style="double">
        <color rgb="FF002CB8"/>
      </right>
      <top/>
      <bottom style="thin">
        <color rgb="FF002CB8"/>
      </bottom>
      <diagonal/>
    </border>
    <border diagonalUp="false" diagonalDown="false">
      <left/>
      <right style="thick">
        <color rgb="FF002CB8"/>
      </right>
      <top/>
      <bottom style="thin">
        <color rgb="FF002CB8"/>
      </bottom>
      <diagonal/>
    </border>
    <border diagonalUp="false" diagonalDown="false">
      <left/>
      <right style="double">
        <color rgb="FF002CB8"/>
      </right>
      <top style="thin">
        <color rgb="FF002CB8"/>
      </top>
      <bottom/>
      <diagonal/>
    </border>
    <border diagonalUp="false" diagonalDown="false">
      <left style="double">
        <color rgb="FF002CB8"/>
      </left>
      <right/>
      <top style="thin">
        <color rgb="FF002CB8"/>
      </top>
      <bottom style="thin">
        <color rgb="FF002CB8"/>
      </bottom>
      <diagonal/>
    </border>
    <border diagonalUp="false" diagonalDown="false">
      <left/>
      <right style="double">
        <color rgb="FF002CB8"/>
      </right>
      <top style="thin">
        <color rgb="FF002CB8"/>
      </top>
      <bottom style="thin">
        <color rgb="FF002CB8"/>
      </bottom>
      <diagonal/>
    </border>
    <border diagonalUp="false" diagonalDown="false">
      <left style="thick">
        <color rgb="FF002CB8"/>
      </left>
      <right style="double">
        <color rgb="FF002CB8"/>
      </right>
      <top style="thin">
        <color rgb="FF002CB8"/>
      </top>
      <bottom style="thin">
        <color rgb="FF002CB8"/>
      </bottom>
      <diagonal/>
    </border>
    <border diagonalUp="false" diagonalDown="false">
      <left/>
      <right style="thick">
        <color rgb="FF002CB8"/>
      </right>
      <top style="thin">
        <color rgb="FF002CB8"/>
      </top>
      <bottom style="thin">
        <color rgb="FF002CB8"/>
      </bottom>
      <diagonal/>
    </border>
    <border diagonalUp="false" diagonalDown="false">
      <left style="double">
        <color rgb="FF002CB8"/>
      </left>
      <right/>
      <top/>
      <bottom/>
      <diagonal/>
    </border>
    <border diagonalUp="false" diagonalDown="false">
      <left style="thick">
        <color rgb="FF002CB8"/>
      </left>
      <right style="double">
        <color rgb="FF002CB8"/>
      </right>
      <top/>
      <bottom style="thick">
        <color rgb="FF002CB8"/>
      </bottom>
      <diagonal/>
    </border>
    <border diagonalUp="false" diagonalDown="false">
      <left/>
      <right/>
      <top/>
      <bottom style="thick">
        <color rgb="FF002CB8"/>
      </bottom>
      <diagonal/>
    </border>
    <border diagonalUp="false" diagonalDown="false">
      <left/>
      <right style="thick">
        <color rgb="FF002CB8"/>
      </right>
      <top/>
      <bottom style="thick">
        <color rgb="FF002CB8"/>
      </bottom>
      <diagonal/>
    </border>
    <border diagonalUp="false" diagonalDown="false">
      <left style="thick">
        <color rgb="FF002CB8"/>
      </left>
      <right style="double">
        <color rgb="FF002CB8"/>
      </right>
      <top style="thin">
        <color rgb="FF002CB8"/>
      </top>
      <bottom style="thick">
        <color rgb="FF002CB8"/>
      </bottom>
      <diagonal/>
    </border>
    <border diagonalUp="false" diagonalDown="false">
      <left/>
      <right/>
      <top style="thick">
        <color rgb="FF002CB8"/>
      </top>
      <bottom style="thick">
        <color theme="4"/>
      </bottom>
      <diagonal/>
    </border>
    <border diagonalUp="false" diagonalDown="false">
      <left/>
      <right style="thick">
        <color theme="4"/>
      </right>
      <top/>
      <bottom/>
      <diagonal/>
    </border>
    <border diagonalUp="false" diagonalDown="false">
      <left/>
      <right style="double">
        <color rgb="FF002CB8"/>
      </right>
      <top/>
      <bottom style="thin">
        <color rgb="FF002CB8"/>
      </bottom>
      <diagonal/>
    </border>
    <border diagonalUp="false" diagonalDown="false">
      <left style="thin">
        <color theme="4"/>
      </left>
      <right style="thin">
        <color theme="4"/>
      </right>
      <top/>
      <bottom style="thin">
        <color rgb="FF002CB8"/>
      </bottom>
      <diagonal/>
    </border>
    <border diagonalUp="false" diagonalDown="false">
      <left style="thin">
        <color theme="4"/>
      </left>
      <right/>
      <top/>
      <bottom style="thin">
        <color rgb="FF002CB8"/>
      </bottom>
      <diagonal/>
    </border>
    <border diagonalUp="false" diagonalDown="false">
      <left style="thick">
        <color rgb="FF002CB8"/>
      </left>
      <right/>
      <top style="thick">
        <color rgb="FF002CB8"/>
      </top>
      <bottom style="thick">
        <color rgb="FF002CB8"/>
      </bottom>
      <diagonal/>
    </border>
    <border diagonalUp="false" diagonalDown="false">
      <left/>
      <right style="thick">
        <color rgb="FF002CB8"/>
      </right>
      <top style="thick">
        <color rgb="FF002CB8"/>
      </top>
      <bottom style="thick">
        <color rgb="FF002CB8"/>
      </bottom>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false" applyAlignment="true" applyProtection="false">
      <alignment horizontal="general" vertical="bottom" textRotation="0" wrapText="true" indent="0" shrinkToFit="false"/>
    </xf>
    <xf numFmtId="41" fontId="1" fillId="0" borderId="0" applyFont="true" applyBorder="false" applyAlignment="false" applyProtection="false"/>
    <xf numFmtId="171" fontId="0" fillId="0" borderId="0" applyFont="true" applyBorder="false" applyAlignment="true" applyProtection="false">
      <alignment horizontal="general" vertical="bottom" textRotation="0" wrapText="true" indent="0" shrinkToFit="false"/>
    </xf>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true" indent="0" shrinkToFit="false"/>
    </xf>
    <xf numFmtId="165" fontId="4" fillId="0" borderId="1" applyFont="true" applyBorder="true" applyAlignment="true" applyProtection="true">
      <alignment horizontal="center" vertical="bottom" textRotation="0" wrapText="false" indent="0" shrinkToFit="false"/>
      <protection locked="true" hidden="false"/>
    </xf>
    <xf numFmtId="166" fontId="0" fillId="0" borderId="0" applyFont="true" applyBorder="false" applyAlignment="true" applyProtection="true">
      <alignment horizontal="general" vertical="bottom" textRotation="0" wrapText="tru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false">
      <alignment horizontal="general" vertical="center" textRotation="0" wrapText="false" indent="0" shrinkToFit="false"/>
    </xf>
    <xf numFmtId="164" fontId="9" fillId="0" borderId="0" applyFont="true" applyBorder="true" applyAlignment="true" applyProtection="false">
      <alignment horizontal="right" vertical="center" textRotation="0" wrapText="false" indent="0" shrinkToFit="false"/>
    </xf>
    <xf numFmtId="164" fontId="4" fillId="0" borderId="0" applyFont="true" applyBorder="true" applyAlignment="true" applyProtection="false">
      <alignment horizontal="general" vertical="bottom" textRotation="0" wrapText="true" indent="0" shrinkToFit="false"/>
    </xf>
    <xf numFmtId="164" fontId="4" fillId="0" borderId="0" applyFont="true" applyBorder="true" applyAlignment="true" applyProtection="false">
      <alignment horizontal="right" vertical="bottom" textRotation="0" wrapText="false" indent="0" shrinkToFit="false"/>
    </xf>
    <xf numFmtId="170" fontId="22" fillId="0" borderId="0" applyFont="true" applyBorder="false" applyAlignment="true" applyProtection="false">
      <alignment horizontal="general" vertical="center" textRotation="0" wrapText="false" indent="0" shrinkToFit="false"/>
    </xf>
  </cellStyleXfs>
  <cellXfs count="90">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6" fillId="3" borderId="2" xfId="24" applyFont="true" applyBorder="true" applyAlignment="true" applyProtection="true">
      <alignment horizontal="center" vertical="center" textRotation="0" wrapText="false" indent="0" shrinkToFit="false"/>
      <protection locked="true" hidden="false"/>
    </xf>
    <xf numFmtId="164" fontId="8" fillId="2" borderId="2" xfId="25" applyFont="true" applyBorder="true" applyAlignment="true" applyProtection="true">
      <alignment horizontal="center" vertical="center" textRotation="0" wrapText="false" indent="0" shrinkToFit="false"/>
      <protection locked="true" hidden="false"/>
    </xf>
    <xf numFmtId="164" fontId="10" fillId="2" borderId="0" xfId="24" applyFont="true" applyBorder="false" applyAlignment="true" applyProtection="true">
      <alignment horizontal="left" vertical="center" textRotation="0" wrapText="false" indent="1" shrinkToFit="false"/>
      <protection locked="true" hidden="false"/>
    </xf>
    <xf numFmtId="164" fontId="11" fillId="2" borderId="0" xfId="25" applyFont="true" applyBorder="false" applyAlignment="true" applyProtection="tru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12" fillId="2" borderId="0" xfId="26" applyFont="true" applyBorder="true" applyAlignment="true" applyProtection="true">
      <alignment horizontal="left" vertical="bottom" textRotation="0" wrapText="true" indent="1" shrinkToFit="false"/>
      <protection locked="true" hidden="false"/>
    </xf>
    <xf numFmtId="164" fontId="12" fillId="2" borderId="0" xfId="27" applyFont="true" applyBorder="false" applyAlignment="true" applyProtection="true">
      <alignment horizontal="left" vertical="bottom" textRotation="0" wrapText="false" indent="1" shrinkToFit="false"/>
      <protection locked="true" hidden="false"/>
    </xf>
    <xf numFmtId="164" fontId="12" fillId="2" borderId="0" xfId="27" applyFont="true" applyBorder="false" applyAlignment="true" applyProtection="true">
      <alignment horizontal="general" vertical="bottom" textRotation="0" wrapText="false" indent="0" shrinkToFit="false"/>
      <protection locked="true" hidden="false"/>
    </xf>
    <xf numFmtId="164" fontId="12" fillId="2" borderId="0" xfId="27" applyFont="true" applyBorder="true" applyAlignment="true" applyProtection="true">
      <alignment horizontal="general" vertical="bottom" textRotation="0" wrapText="false" indent="0" shrinkToFit="false"/>
      <protection locked="true" hidden="false"/>
    </xf>
    <xf numFmtId="164" fontId="13" fillId="2" borderId="3" xfId="0" applyFont="true" applyBorder="true" applyAlignment="true" applyProtection="true">
      <alignment horizontal="left" vertical="bottom" textRotation="0" wrapText="false" indent="1" shrinkToFit="false"/>
      <protection locked="true" hidden="false"/>
    </xf>
    <xf numFmtId="164" fontId="13" fillId="2" borderId="0" xfId="0" applyFont="true" applyBorder="false" applyAlignment="true" applyProtection="true">
      <alignment horizontal="left" vertical="bottom" textRotation="0" wrapText="false" indent="1" shrinkToFit="false"/>
      <protection locked="true" hidden="false"/>
    </xf>
    <xf numFmtId="164" fontId="0" fillId="2" borderId="4" xfId="0" applyFont="true" applyBorder="tru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6" fillId="0" borderId="0" xfId="2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3" fillId="2" borderId="3" xfId="0" applyFont="true" applyBorder="true" applyAlignment="true" applyProtection="true">
      <alignment horizontal="left" vertical="top" textRotation="0" wrapText="false" indent="1" shrinkToFit="false"/>
      <protection locked="true" hidden="false"/>
    </xf>
    <xf numFmtId="164" fontId="12" fillId="2" borderId="0" xfId="27" applyFont="true" applyBorder="false" applyAlignment="true" applyProtection="true">
      <alignment horizontal="left" vertical="bottom" textRotation="0" wrapText="false" indent="0" shrinkToFit="false"/>
      <protection locked="true" hidden="false"/>
    </xf>
    <xf numFmtId="164" fontId="12" fillId="2" borderId="0" xfId="27" applyFont="true" applyBorder="true" applyAlignment="true" applyProtection="true">
      <alignment horizontal="left" vertical="bottom" textRotation="0" wrapText="false" indent="0" shrinkToFit="false"/>
      <protection locked="true" hidden="false"/>
    </xf>
    <xf numFmtId="164" fontId="13" fillId="2" borderId="5" xfId="0" applyFont="true" applyBorder="true" applyAlignment="true" applyProtection="true">
      <alignment horizontal="left" vertical="bottom" textRotation="0" wrapText="true" indent="1" shrinkToFit="false"/>
      <protection locked="true" hidden="false"/>
    </xf>
    <xf numFmtId="164" fontId="13" fillId="2" borderId="0" xfId="0" applyFont="true" applyBorder="false" applyAlignment="true" applyProtection="true">
      <alignment horizontal="left" vertical="bottom" textRotation="0" wrapText="true" indent="1" shrinkToFit="false"/>
      <protection locked="true" hidden="false"/>
    </xf>
    <xf numFmtId="164" fontId="13" fillId="2" borderId="6" xfId="26" applyFont="true" applyBorder="true" applyAlignment="true" applyProtection="true">
      <alignment horizontal="left" vertical="bottom" textRotation="0" wrapText="true" indent="1" shrinkToFit="false"/>
      <protection locked="true" hidden="false"/>
    </xf>
    <xf numFmtId="165" fontId="13" fillId="2" borderId="5" xfId="0" applyFont="true" applyBorder="true" applyAlignment="true" applyProtection="true">
      <alignment horizontal="left" vertical="bottom" textRotation="0" wrapText="false" indent="1" shrinkToFit="false"/>
      <protection locked="true" hidden="false"/>
    </xf>
    <xf numFmtId="164" fontId="13" fillId="2"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6" fontId="12" fillId="2" borderId="0" xfId="22" applyFont="true" applyBorder="true" applyAlignment="true" applyProtection="true">
      <alignment horizontal="left" vertical="top" textRotation="0" wrapText="false" indent="1" shrinkToFit="false"/>
      <protection locked="true" hidden="false"/>
    </xf>
    <xf numFmtId="164" fontId="13" fillId="2" borderId="0" xfId="0" applyFont="true" applyBorder="false" applyAlignment="true" applyProtection="true">
      <alignment horizontal="left" vertical="center" textRotation="0" wrapText="false" indent="1" shrinkToFit="false"/>
      <protection locked="true" hidden="false"/>
    </xf>
    <xf numFmtId="164" fontId="12" fillId="2" borderId="0" xfId="0" applyFont="true" applyBorder="false" applyAlignment="true" applyProtection="true">
      <alignment horizontal="general" vertical="center" textRotation="0" wrapText="false" indent="0" shrinkToFit="false"/>
      <protection locked="true" hidden="false"/>
    </xf>
    <xf numFmtId="164" fontId="13" fillId="2" borderId="0" xfId="0" applyFont="true" applyBorder="false" applyAlignment="true" applyProtection="true">
      <alignment horizontal="left" vertical="center" textRotation="0" wrapText="false" indent="0" shrinkToFit="false"/>
      <protection locked="true" hidden="false"/>
    </xf>
    <xf numFmtId="164" fontId="13" fillId="2" borderId="7" xfId="0" applyFont="true" applyBorder="true" applyAlignment="true" applyProtection="true">
      <alignment horizontal="general" vertical="center" textRotation="0" wrapText="false" indent="0" shrinkToFit="false"/>
      <protection locked="true" hidden="false"/>
    </xf>
    <xf numFmtId="164" fontId="18" fillId="3" borderId="8" xfId="0" applyFont="true" applyBorder="true" applyAlignment="true" applyProtection="true">
      <alignment horizontal="center" vertical="center" textRotation="0" wrapText="true" indent="0" shrinkToFit="false"/>
      <protection locked="true" hidden="false"/>
    </xf>
    <xf numFmtId="164" fontId="19" fillId="2" borderId="0" xfId="0" applyFont="true" applyBorder="false" applyAlignment="true" applyProtection="true">
      <alignment horizontal="center" vertical="center" textRotation="0" wrapText="false" indent="0" shrinkToFit="false"/>
      <protection locked="true" hidden="false"/>
    </xf>
    <xf numFmtId="164" fontId="18" fillId="3" borderId="9" xfId="0" applyFont="true" applyBorder="true" applyAlignment="true" applyProtection="true">
      <alignment horizontal="center" vertical="center" textRotation="0" wrapText="true" indent="0" shrinkToFit="false"/>
      <protection locked="true" hidden="false"/>
    </xf>
    <xf numFmtId="164" fontId="18" fillId="3" borderId="10" xfId="0" applyFont="true" applyBorder="true" applyAlignment="true" applyProtection="true">
      <alignment horizontal="center" vertical="center" textRotation="0" wrapText="true" indent="0" shrinkToFit="false"/>
      <protection locked="true" hidden="false"/>
    </xf>
    <xf numFmtId="164" fontId="0" fillId="2" borderId="0" xfId="0" applyFont="true" applyBorder="false" applyAlignment="true" applyProtection="true">
      <alignment horizontal="right" vertical="center" textRotation="0" wrapText="false" indent="0" shrinkToFit="false"/>
      <protection locked="true" hidden="false"/>
    </xf>
    <xf numFmtId="167" fontId="20" fillId="2" borderId="11" xfId="0" applyFont="true" applyBorder="true" applyAlignment="true" applyProtection="true">
      <alignment horizontal="center" vertical="center" textRotation="0" wrapText="false" indent="0" shrinkToFit="false"/>
      <protection locked="true" hidden="false"/>
    </xf>
    <xf numFmtId="168" fontId="21" fillId="2" borderId="12" xfId="0" applyFont="true" applyBorder="true" applyAlignment="true" applyProtection="true">
      <alignment horizontal="center" vertical="center" textRotation="0" wrapText="false" indent="0" shrinkToFit="false"/>
      <protection locked="true" hidden="false"/>
    </xf>
    <xf numFmtId="164" fontId="21" fillId="2" borderId="3" xfId="0" applyFont="true" applyBorder="true" applyAlignment="true" applyProtection="true">
      <alignment horizontal="center" vertical="center" textRotation="0" wrapText="false" indent="0" shrinkToFit="false"/>
      <protection locked="true" hidden="false"/>
    </xf>
    <xf numFmtId="168" fontId="21" fillId="2" borderId="3" xfId="0" applyFont="true" applyBorder="true" applyAlignment="true" applyProtection="true">
      <alignment horizontal="center" vertical="center" textRotation="0" wrapText="false" indent="0" shrinkToFit="false"/>
      <protection locked="true" hidden="false"/>
    </xf>
    <xf numFmtId="164" fontId="13" fillId="2" borderId="0" xfId="0" applyFont="true" applyBorder="false" applyAlignment="true" applyProtection="true">
      <alignment horizontal="center" vertical="center" textRotation="0" wrapText="false" indent="0" shrinkToFit="false"/>
      <protection locked="true" hidden="false"/>
    </xf>
    <xf numFmtId="169" fontId="20" fillId="2" borderId="13" xfId="0" applyFont="true" applyBorder="true" applyAlignment="true" applyProtection="true">
      <alignment horizontal="center" vertical="center" textRotation="0" wrapText="false" indent="0" shrinkToFit="false"/>
      <protection locked="true" hidden="false"/>
    </xf>
    <xf numFmtId="169" fontId="21" fillId="2" borderId="12" xfId="0" applyFont="true" applyBorder="true" applyAlignment="true" applyProtection="true">
      <alignment horizontal="center" vertical="center" textRotation="0" wrapText="false" indent="0" shrinkToFit="false"/>
      <protection locked="true" hidden="false"/>
    </xf>
    <xf numFmtId="169" fontId="21" fillId="2" borderId="3" xfId="0" applyFont="true" applyBorder="true" applyAlignment="true" applyProtection="true">
      <alignment horizontal="center" vertical="center" textRotation="0" wrapText="false" indent="0" shrinkToFit="false"/>
      <protection locked="true" hidden="false"/>
    </xf>
    <xf numFmtId="169" fontId="21" fillId="2" borderId="14" xfId="0" applyFont="true" applyBorder="true" applyAlignment="true" applyProtection="true">
      <alignment horizontal="center" vertical="center" textRotation="0" wrapText="false" indent="0" shrinkToFit="false"/>
      <protection locked="true" hidden="false"/>
    </xf>
    <xf numFmtId="167" fontId="20" fillId="2" borderId="15" xfId="0" applyFont="true" applyBorder="true" applyAlignment="true" applyProtection="true">
      <alignment horizontal="center" vertical="center" textRotation="0" wrapText="false" indent="0" shrinkToFit="false"/>
      <protection locked="true" hidden="false"/>
    </xf>
    <xf numFmtId="168" fontId="21" fillId="2" borderId="16" xfId="0" applyFont="true" applyBorder="true" applyAlignment="true" applyProtection="true">
      <alignment horizontal="center" vertical="center" textRotation="0" wrapText="false" indent="0" shrinkToFit="false"/>
      <protection locked="true" hidden="false"/>
    </xf>
    <xf numFmtId="164" fontId="21" fillId="2" borderId="5" xfId="0" applyFont="true" applyBorder="true" applyAlignment="true" applyProtection="true">
      <alignment horizontal="center" vertical="center" textRotation="0" wrapText="false" indent="0" shrinkToFit="false"/>
      <protection locked="true" hidden="false"/>
    </xf>
    <xf numFmtId="168" fontId="21" fillId="2" borderId="0" xfId="0" applyFont="true" applyBorder="false" applyAlignment="true" applyProtection="true">
      <alignment horizontal="center" vertical="center" textRotation="0" wrapText="false" indent="0" shrinkToFit="false"/>
      <protection locked="true" hidden="false"/>
    </xf>
    <xf numFmtId="167" fontId="20" fillId="2" borderId="17" xfId="0" applyFont="true" applyBorder="true" applyAlignment="true" applyProtection="true">
      <alignment horizontal="center" vertical="center" textRotation="0" wrapText="false" indent="0" shrinkToFit="false"/>
      <protection locked="true" hidden="false"/>
    </xf>
    <xf numFmtId="168" fontId="21" fillId="2" borderId="5" xfId="0" applyFont="true" applyBorder="true" applyAlignment="true" applyProtection="true">
      <alignment horizontal="center" vertical="center" textRotation="0" wrapText="false" indent="0" shrinkToFit="false"/>
      <protection locked="true" hidden="false"/>
    </xf>
    <xf numFmtId="169" fontId="20" fillId="2" borderId="18" xfId="0" applyFont="true" applyBorder="true" applyAlignment="true" applyProtection="true">
      <alignment horizontal="center" vertical="center" textRotation="0" wrapText="false" indent="0" shrinkToFit="false"/>
      <protection locked="true" hidden="false"/>
    </xf>
    <xf numFmtId="169" fontId="21" fillId="2" borderId="5" xfId="0" applyFont="true" applyBorder="true" applyAlignment="true" applyProtection="true">
      <alignment horizontal="center" vertical="center" textRotation="0" wrapText="false" indent="0" shrinkToFit="false"/>
      <protection locked="true" hidden="false"/>
    </xf>
    <xf numFmtId="169" fontId="21" fillId="2" borderId="19" xfId="0" applyFont="true" applyBorder="tru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9" fontId="21" fillId="2" borderId="16" xfId="0" applyFont="true" applyBorder="true" applyAlignment="true" applyProtection="true">
      <alignment horizontal="center" vertical="center" textRotation="0" wrapText="false" indent="0" shrinkToFit="false"/>
      <protection locked="true" hidden="false"/>
    </xf>
    <xf numFmtId="168" fontId="21" fillId="2" borderId="20" xfId="0" applyFont="true" applyBorder="true" applyAlignment="true" applyProtection="true">
      <alignment horizontal="center" vertical="center" textRotation="0" wrapText="false" indent="0" shrinkToFit="false"/>
      <protection locked="true" hidden="false"/>
    </xf>
    <xf numFmtId="164" fontId="21" fillId="2" borderId="0" xfId="0" applyFont="true" applyBorder="false" applyAlignment="true" applyProtection="true">
      <alignment horizontal="center" vertical="bottom" textRotation="0" wrapText="true" indent="0" shrinkToFit="false"/>
      <protection locked="true" hidden="false"/>
    </xf>
    <xf numFmtId="164" fontId="13" fillId="2" borderId="0" xfId="0" applyFont="true" applyBorder="false" applyAlignment="true" applyProtection="true">
      <alignment horizontal="center" vertical="bottom" textRotation="0" wrapText="true" indent="0" shrinkToFit="false"/>
      <protection locked="true" hidden="false"/>
    </xf>
    <xf numFmtId="164" fontId="20" fillId="2" borderId="21" xfId="0" applyFont="true" applyBorder="true" applyAlignment="true" applyProtection="true">
      <alignment horizontal="center" vertical="center" textRotation="0" wrapText="false" indent="0" shrinkToFit="false"/>
      <protection locked="true" hidden="false"/>
    </xf>
    <xf numFmtId="169" fontId="20" fillId="2" borderId="22" xfId="0" applyFont="true" applyBorder="true" applyAlignment="true" applyProtection="true">
      <alignment horizontal="center" vertical="center" textRotation="0" wrapText="false" indent="0" shrinkToFit="false"/>
      <protection locked="true" hidden="false"/>
    </xf>
    <xf numFmtId="169" fontId="20" fillId="2" borderId="23" xfId="0" applyFont="true" applyBorder="true" applyAlignment="true" applyProtection="true">
      <alignment horizontal="center" vertical="center" textRotation="0" wrapText="false" indent="0" shrinkToFit="false"/>
      <protection locked="true" hidden="false"/>
    </xf>
    <xf numFmtId="164" fontId="18" fillId="3" borderId="0" xfId="0" applyFont="true" applyBorder="false" applyAlignment="true" applyProtection="true">
      <alignment horizontal="center" vertical="center" textRotation="0" wrapText="true" indent="0" shrinkToFit="false"/>
      <protection locked="true" hidden="false"/>
    </xf>
    <xf numFmtId="164" fontId="22" fillId="2" borderId="0" xfId="0" applyFont="true" applyBorder="false" applyAlignment="true" applyProtection="true">
      <alignment horizontal="center" vertical="center" textRotation="0" wrapText="false" indent="0" shrinkToFit="false"/>
      <protection locked="true" hidden="false"/>
    </xf>
    <xf numFmtId="164" fontId="20" fillId="2" borderId="24"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center" vertical="bottom" textRotation="0" wrapText="true" indent="0" shrinkToFit="false"/>
      <protection locked="true" hidden="false"/>
    </xf>
    <xf numFmtId="164" fontId="23" fillId="2" borderId="25" xfId="0" applyFont="true" applyBorder="true" applyAlignment="true" applyProtection="true">
      <alignment horizontal="center" vertical="bottom" textRotation="0" wrapText="true" indent="0" shrinkToFit="false"/>
      <protection locked="true" hidden="false"/>
    </xf>
    <xf numFmtId="164" fontId="23" fillId="2" borderId="0" xfId="0" applyFont="true" applyBorder="false" applyAlignment="true" applyProtection="true">
      <alignment horizontal="center" vertical="bottom" textRotation="0" wrapText="true" indent="0" shrinkToFit="false"/>
      <protection locked="true" hidden="false"/>
    </xf>
    <xf numFmtId="164" fontId="0" fillId="2" borderId="26" xfId="0" applyFont="true" applyBorder="true" applyAlignment="true" applyProtection="true">
      <alignment horizontal="general" vertical="bottom" textRotation="0" wrapText="true" indent="0" shrinkToFit="false"/>
      <protection locked="true" hidden="false"/>
    </xf>
    <xf numFmtId="164" fontId="23" fillId="3" borderId="0" xfId="0" applyFont="true" applyBorder="false" applyAlignment="true" applyProtection="true">
      <alignment horizontal="center" vertical="center" textRotation="0" wrapText="true" indent="0" shrinkToFit="false"/>
      <protection locked="true" hidden="false"/>
    </xf>
    <xf numFmtId="164" fontId="13" fillId="2" borderId="22" xfId="0" applyFont="true" applyBorder="true" applyAlignment="true" applyProtection="true">
      <alignment horizontal="left" vertical="bottom" textRotation="0" wrapText="false" indent="0" shrinkToFit="false"/>
      <protection locked="true" hidden="false"/>
    </xf>
    <xf numFmtId="165" fontId="13" fillId="2" borderId="22" xfId="0" applyFont="true" applyBorder="true" applyAlignment="true" applyProtection="true">
      <alignment horizontal="left" vertical="bottom" textRotation="0" wrapText="false" indent="0" shrinkToFit="true"/>
      <protection locked="true" hidden="false"/>
    </xf>
    <xf numFmtId="164" fontId="21" fillId="2" borderId="27" xfId="0" applyFont="true" applyBorder="true" applyAlignment="true" applyProtection="true">
      <alignment horizontal="center" vertical="center" textRotation="0" wrapText="true" indent="0" shrinkToFit="false"/>
      <protection locked="true" hidden="false"/>
    </xf>
    <xf numFmtId="170" fontId="20" fillId="2" borderId="12" xfId="28" applyFont="true" applyBorder="true" applyAlignment="true" applyProtection="true">
      <alignment horizontal="center" vertical="center" textRotation="0" wrapText="false" indent="0" shrinkToFit="false"/>
      <protection locked="true" hidden="false"/>
    </xf>
    <xf numFmtId="170" fontId="20" fillId="2" borderId="28" xfId="28" applyFont="true" applyBorder="true" applyAlignment="true" applyProtection="true">
      <alignment horizontal="center" vertical="center" textRotation="0" wrapText="false" indent="0" shrinkToFit="false"/>
      <protection locked="true" hidden="false"/>
    </xf>
    <xf numFmtId="170" fontId="20" fillId="2" borderId="3" xfId="28" applyFont="true" applyBorder="true" applyAlignment="true" applyProtection="true">
      <alignment horizontal="center" vertical="center" textRotation="0" wrapText="false" indent="0" shrinkToFit="false"/>
      <protection locked="true" hidden="false"/>
    </xf>
    <xf numFmtId="170" fontId="20" fillId="2" borderId="29" xfId="28" applyFont="true" applyBorder="true" applyAlignment="true" applyProtection="true">
      <alignment horizontal="center" vertical="center" textRotation="0" wrapText="false" indent="0" shrinkToFit="false"/>
      <protection locked="true" hidden="false"/>
    </xf>
    <xf numFmtId="164" fontId="13" fillId="2" borderId="9" xfId="0" applyFont="true" applyBorder="true" applyAlignment="true" applyProtection="true">
      <alignment horizontal="left" vertical="center" textRotation="0" wrapText="false" indent="0" shrinkToFit="false"/>
      <protection locked="true" hidden="false"/>
    </xf>
    <xf numFmtId="164" fontId="13" fillId="2" borderId="9" xfId="0" applyFont="true" applyBorder="true" applyAlignment="true" applyProtection="true">
      <alignment horizontal="general" vertical="center" textRotation="0" wrapText="false" indent="0" shrinkToFit="false"/>
      <protection locked="true" hidden="false"/>
    </xf>
    <xf numFmtId="164" fontId="21" fillId="2" borderId="11" xfId="0" applyFont="true" applyBorder="true" applyAlignment="true" applyProtection="true">
      <alignment horizontal="center" vertical="center" textRotation="0" wrapText="true" indent="0" shrinkToFit="false"/>
      <protection locked="true" hidden="false"/>
    </xf>
    <xf numFmtId="170" fontId="21" fillId="2" borderId="20" xfId="15" applyFont="true" applyBorder="true" applyAlignment="true" applyProtection="true">
      <alignment horizontal="center" vertical="center" textRotation="0" wrapText="false" indent="0" shrinkToFit="true"/>
      <protection locked="true" hidden="false"/>
    </xf>
    <xf numFmtId="170" fontId="21" fillId="2" borderId="0" xfId="15" applyFont="true" applyBorder="true" applyAlignment="true" applyProtection="true">
      <alignment horizontal="center" vertical="center" textRotation="0" wrapText="false" indent="0" shrinkToFit="true"/>
      <protection locked="true" hidden="false"/>
    </xf>
    <xf numFmtId="164" fontId="13" fillId="2" borderId="22" xfId="0" applyFont="true" applyBorder="true" applyAlignment="true" applyProtection="true">
      <alignment horizontal="left" vertical="center" textRotation="0" wrapText="false" indent="0" shrinkToFit="false"/>
      <protection locked="true" hidden="false"/>
    </xf>
    <xf numFmtId="165" fontId="13" fillId="2" borderId="22" xfId="0" applyFont="true" applyBorder="true" applyAlignment="true" applyProtection="true">
      <alignment horizontal="left" vertical="center" textRotation="0" wrapText="false" indent="0" shrinkToFit="true"/>
      <protection locked="true" hidden="false"/>
    </xf>
    <xf numFmtId="164" fontId="13" fillId="2" borderId="0" xfId="0" applyFont="true" applyBorder="false" applyAlignment="true" applyProtection="true">
      <alignment horizontal="general" vertical="bottom" textRotation="0" wrapText="true" indent="0" shrinkToFit="false"/>
      <protection locked="true" hidden="false"/>
    </xf>
    <xf numFmtId="164" fontId="21" fillId="2" borderId="0" xfId="0" applyFont="true" applyBorder="false" applyAlignment="true" applyProtection="true">
      <alignment horizontal="general" vertical="bottom" textRotation="0" wrapText="tru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true" hidden="false"/>
    </xf>
    <xf numFmtId="164" fontId="20" fillId="2" borderId="30" xfId="0" applyFont="true" applyBorder="true" applyAlignment="true" applyProtection="true">
      <alignment horizontal="left" vertical="center" textRotation="0" wrapText="false" indent="1" shrinkToFit="false"/>
      <protection locked="true" hidden="false"/>
    </xf>
    <xf numFmtId="170" fontId="20" fillId="2" borderId="31" xfId="17" applyFont="true" applyBorder="true" applyAlignment="true" applyProtection="true">
      <alignment horizontal="left" vertical="center"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Phone" xfId="22"/>
    <cellStyle name="zHidden text" xfId="23"/>
    <cellStyle name="Excel Built-in Heading 1" xfId="24"/>
    <cellStyle name="Excel Built-in Heading 2" xfId="25"/>
    <cellStyle name="Excel Built-in Heading 3" xfId="26"/>
    <cellStyle name="Excel Built-in Heading 4" xfId="27"/>
    <cellStyle name="*unknown*" xfId="20" builtinId="8"/>
    <cellStyle name="Excel Built-in Comma [0] 1" xfId="28"/>
  </cellStyles>
  <dxfs count="4">
    <dxf>
      <fill>
        <patternFill patternType="solid">
          <fgColor rgb="FF002CB8"/>
          <bgColor rgb="FF000000"/>
        </patternFill>
      </fill>
    </dxf>
    <dxf>
      <fill>
        <patternFill patternType="solid">
          <fgColor rgb="FFFDDFD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E00E0E"/>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EF2F2"/>
      <rgbColor rgb="FFCCFFFF"/>
      <rgbColor rgb="FF660066"/>
      <rgbColor rgb="FFF66F6F"/>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DFDF"/>
      <rgbColor rgb="FF3366FF"/>
      <rgbColor rgb="FF33CCCC"/>
      <rgbColor rgb="FF99CC00"/>
      <rgbColor rgb="FFFFCC00"/>
      <rgbColor rgb="FFFF9900"/>
      <rgbColor rgb="FFFF6600"/>
      <rgbColor rgb="FF595959"/>
      <rgbColor rgb="FF969696"/>
      <rgbColor rgb="FF002CB8"/>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RatePerHr" displayName="RatePerHr" ref="G29:L31" headerRowCount="1" totalsRowCount="0" totalsRowShown="0">
  <autoFilter ref="G29:L31">
    <filterColumn colId="0" hiddenButton="1"/>
    <filterColumn colId="1" hiddenButton="1"/>
    <filterColumn colId="2" hiddenButton="1"/>
    <filterColumn colId="3" hiddenButton="1"/>
    <filterColumn colId="4" hiddenButton="1"/>
    <filterColumn colId="5" hiddenButton="1"/>
  </autoFilter>
  <tableColumns count="6">
    <tableColumn id="1" name=" "/>
    <tableColumn id="2" name="Regular"/>
    <tableColumn id="3" name="Overtime"/>
    <tableColumn id="4" name="Sick"/>
    <tableColumn id="5" name="Holiday"/>
    <tableColumn id="6" name="Vacation"/>
  </tableColumns>
</table>
</file>

<file path=xl/tables/table2.xml><?xml version="1.0" encoding="utf-8"?>
<table xmlns="http://schemas.openxmlformats.org/spreadsheetml/2006/main" id="2" name="Week1Breakdown" displayName="Week1Breakdown" ref="G9:L16" headerRowCount="1" totalsRowCount="0" totalsRowShown="0">
  <autoFilter ref="G9:L16">
    <filterColumn colId="0" hiddenButton="1"/>
    <filterColumn colId="1" hiddenButton="1"/>
    <filterColumn colId="2" hiddenButton="1"/>
    <filterColumn colId="3" hiddenButton="1"/>
    <filterColumn colId="4" hiddenButton="1"/>
    <filterColumn colId="5" hiddenButton="1"/>
  </autoFilter>
  <tableColumns count="6">
    <tableColumn id="1" name="Total&#10;[h]:mm"/>
    <tableColumn id="2" name="Regular&#10;[h]:mm"/>
    <tableColumn id="3" name="Overtime&#10;[h]:mm"/>
    <tableColumn id="4" name="Sick&#10;[h]:mm"/>
    <tableColumn id="5" name=" Holiday&#10;[h]:mm"/>
    <tableColumn id="6" name="Vacation&#10;[h]:mm"/>
  </tableColumns>
</table>
</file>

<file path=xl/tables/table3.xml><?xml version="1.0" encoding="utf-8"?>
<table xmlns="http://schemas.openxmlformats.org/spreadsheetml/2006/main" id="3" name="Week1Time" displayName="Week1Time" ref="B9:E16" headerRowCount="1" totalsRowCount="0" totalsRowShown="0">
  <autoFilter ref="B9:E16"/>
  <tableColumns count="4">
    <tableColumn id="1" name="Day of week"/>
    <tableColumn id="2" name="Time in"/>
    <tableColumn id="3" name="Breaks&#10;(minutes)"/>
    <tableColumn id="4" name="Time out"/>
  </tableColumns>
</table>
</file>

<file path=xl/tables/table4.xml><?xml version="1.0" encoding="utf-8"?>
<table xmlns="http://schemas.openxmlformats.org/spreadsheetml/2006/main" id="4" name="Week2Breakdown" displayName="Week2Breakdown" ref="G19:L26" headerRowCount="1" totalsRowCount="0" totalsRowShown="0">
  <autoFilter ref="G19:L26">
    <filterColumn colId="0" hiddenButton="1"/>
    <filterColumn colId="1" hiddenButton="1"/>
    <filterColumn colId="2" hiddenButton="1"/>
    <filterColumn colId="3" hiddenButton="1"/>
    <filterColumn colId="4" hiddenButton="1"/>
    <filterColumn colId="5" hiddenButton="1"/>
  </autoFilter>
  <tableColumns count="6">
    <tableColumn id="1" name="Total&#10;[h]:mm"/>
    <tableColumn id="2" name="Regular&#10;[h]:mm"/>
    <tableColumn id="3" name="Overtime&#10;[h]:mm"/>
    <tableColumn id="4" name="Sick&#10;[h]:mm"/>
    <tableColumn id="5" name="Holiday&#10;[h]:mm"/>
    <tableColumn id="6" name="Vacation&#10;[h]:mm"/>
  </tableColumns>
</table>
</file>

<file path=xl/tables/table5.xml><?xml version="1.0" encoding="utf-8"?>
<table xmlns="http://schemas.openxmlformats.org/spreadsheetml/2006/main" id="5" name="Week2Time" displayName="Week2Time" ref="B19:E26" headerRowCount="1" totalsRowCount="0" totalsRowShown="0">
  <autoFilter ref="B19:E26"/>
  <tableColumns count="4">
    <tableColumn id="1" name="Day of week"/>
    <tableColumn id="2" name="Time in"/>
    <tableColumn id="3" name="Breaks&#10;(minutes)"/>
    <tableColumn id="4" name="Time out"/>
  </tableColumns>
</table>
</file>

<file path=xl/theme/theme1.xml><?xml version="1.0" encoding="utf-8"?>
<a:theme xmlns:a="http://schemas.openxmlformats.org/drawingml/2006/main" xmlns:r="http://schemas.openxmlformats.org/officeDocument/2006/relationships" name="Office Theme">
  <a:themeElements>
    <a:clrScheme name="Custom 47">
      <a:dk1>
        <a:srgbClr val="000000"/>
      </a:dk1>
      <a:lt1>
        <a:srgbClr val="FFFFFF"/>
      </a:lt1>
      <a:dk2>
        <a:srgbClr val="44546A"/>
      </a:dk2>
      <a:lt2>
        <a:srgbClr val="E7E6E6"/>
      </a:lt2>
      <a:accent1>
        <a:srgbClr val="FDDFDF"/>
      </a:accent1>
      <a:accent2>
        <a:srgbClr val="002CB8"/>
      </a:accent2>
      <a:accent3>
        <a:srgbClr val="EE880C"/>
      </a:accent3>
      <a:accent4>
        <a:srgbClr val="FFC000"/>
      </a:accent4>
      <a:accent5>
        <a:srgbClr val="9E17F1"/>
      </a:accent5>
      <a:accent6>
        <a:srgbClr val="70AD47"/>
      </a:accent6>
      <a:hlink>
        <a:srgbClr val="0563C1"/>
      </a:hlink>
      <a:folHlink>
        <a:srgbClr val="954F72"/>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EF2F2"/>
    <pageSetUpPr fitToPage="true"/>
  </sheetPr>
  <dimension ref="A1:O34"/>
  <sheetViews>
    <sheetView showFormulas="false" showGridLines="false" showRowColHeaders="true" showZeros="true" rightToLeft="false" tabSelected="true" showOutlineSymbols="true" defaultGridColor="true" view="normal" topLeftCell="A16" colorId="64" zoomScale="100" zoomScaleNormal="100" zoomScalePageLayoutView="100" workbookViewId="0">
      <selection pane="topLeft" activeCell="D21" activeCellId="0" sqref="D21"/>
    </sheetView>
  </sheetViews>
  <sheetFormatPr defaultColWidth="9.1484375" defaultRowHeight="30" customHeight="true" zeroHeight="false" outlineLevelRow="0" outlineLevelCol="0"/>
  <cols>
    <col collapsed="false" customWidth="true" hidden="false" outlineLevel="0" max="1" min="1" style="1" width="5.66"/>
    <col collapsed="false" customWidth="true" hidden="false" outlineLevel="0" max="5" min="2" style="1" width="12.67"/>
    <col collapsed="false" customWidth="true" hidden="false" outlineLevel="0" max="6" min="6" style="1" width="5.66"/>
    <col collapsed="false" customWidth="true" hidden="false" outlineLevel="0" max="12" min="7" style="1" width="12.67"/>
    <col collapsed="false" customWidth="true" hidden="false" outlineLevel="0" max="13" min="13" style="1" width="5.66"/>
    <col collapsed="false" customWidth="false" hidden="false" outlineLevel="0" max="16384" min="14" style="1" width="9.14"/>
  </cols>
  <sheetData>
    <row r="1" customFormat="false" ht="34.5" hidden="false" customHeight="true" outlineLevel="0" collapsed="false">
      <c r="A1" s="2"/>
      <c r="B1" s="2"/>
      <c r="C1" s="2"/>
      <c r="D1" s="2"/>
      <c r="E1" s="2"/>
      <c r="F1" s="2"/>
      <c r="G1" s="2"/>
      <c r="H1" s="2"/>
      <c r="I1" s="2"/>
      <c r="J1" s="2"/>
      <c r="K1" s="2"/>
      <c r="L1" s="2"/>
      <c r="M1" s="2"/>
    </row>
    <row r="2" customFormat="false" ht="75" hidden="false" customHeight="true" outlineLevel="0" collapsed="false">
      <c r="A2" s="2"/>
      <c r="B2" s="3" t="s">
        <v>0</v>
      </c>
      <c r="C2" s="3"/>
      <c r="D2" s="3"/>
      <c r="E2" s="3"/>
      <c r="F2" s="3"/>
      <c r="G2" s="4" t="s">
        <v>1</v>
      </c>
      <c r="H2" s="4"/>
      <c r="I2" s="4"/>
      <c r="J2" s="4"/>
      <c r="K2" s="4"/>
      <c r="L2" s="4"/>
      <c r="M2" s="2"/>
    </row>
    <row r="3" customFormat="false" ht="15" hidden="false" customHeight="true" outlineLevel="0" collapsed="false">
      <c r="A3" s="2"/>
      <c r="B3" s="5"/>
      <c r="C3" s="5"/>
      <c r="D3" s="5"/>
      <c r="E3" s="5"/>
      <c r="F3" s="6"/>
      <c r="G3" s="6"/>
      <c r="H3" s="6"/>
      <c r="I3" s="6"/>
      <c r="J3" s="6"/>
      <c r="K3" s="6"/>
      <c r="L3" s="6"/>
      <c r="M3" s="2"/>
    </row>
    <row r="4" s="17" customFormat="true" ht="34.5" hidden="false" customHeight="true" outlineLevel="0" collapsed="false">
      <c r="A4" s="7"/>
      <c r="B4" s="8" t="s">
        <v>2</v>
      </c>
      <c r="C4" s="8"/>
      <c r="D4" s="8"/>
      <c r="E4" s="9"/>
      <c r="F4" s="10"/>
      <c r="G4" s="11" t="s">
        <v>3</v>
      </c>
      <c r="H4" s="11"/>
      <c r="I4" s="12" t="s">
        <v>4</v>
      </c>
      <c r="J4" s="12"/>
      <c r="K4" s="12"/>
      <c r="L4" s="13"/>
      <c r="M4" s="14"/>
      <c r="N4" s="15"/>
      <c r="O4" s="16"/>
    </row>
    <row r="5" s="17" customFormat="true" ht="34.5" hidden="false" customHeight="true" outlineLevel="0" collapsed="false">
      <c r="A5" s="7"/>
      <c r="B5" s="18" t="s">
        <v>5</v>
      </c>
      <c r="C5" s="18"/>
      <c r="D5" s="18"/>
      <c r="E5" s="9"/>
      <c r="F5" s="19"/>
      <c r="G5" s="20" t="s">
        <v>6</v>
      </c>
      <c r="H5" s="20"/>
      <c r="I5" s="21" t="s">
        <v>7</v>
      </c>
      <c r="J5" s="21"/>
      <c r="K5" s="21"/>
      <c r="L5" s="22"/>
      <c r="M5" s="14"/>
      <c r="N5" s="16"/>
    </row>
    <row r="6" s="17" customFormat="true" ht="34.5" hidden="false" customHeight="true" outlineLevel="0" collapsed="false">
      <c r="A6" s="7"/>
      <c r="B6" s="23" t="s">
        <v>8</v>
      </c>
      <c r="C6" s="23"/>
      <c r="D6" s="23"/>
      <c r="E6" s="9"/>
      <c r="F6" s="19"/>
      <c r="G6" s="20" t="s">
        <v>9</v>
      </c>
      <c r="H6" s="20"/>
      <c r="I6" s="24" t="n">
        <f aca="true">TODAY()</f>
        <v>46277</v>
      </c>
      <c r="J6" s="24"/>
      <c r="K6" s="24"/>
      <c r="L6" s="25"/>
      <c r="M6" s="7"/>
      <c r="N6" s="26"/>
    </row>
    <row r="7" s="17" customFormat="true" ht="34.5" hidden="false" customHeight="true" outlineLevel="0" collapsed="false">
      <c r="A7" s="7"/>
      <c r="B7" s="27" t="s">
        <v>10</v>
      </c>
      <c r="C7" s="27"/>
      <c r="D7" s="27"/>
      <c r="E7" s="28"/>
      <c r="F7" s="25"/>
      <c r="G7" s="29"/>
      <c r="H7" s="30"/>
      <c r="I7" s="30"/>
      <c r="J7" s="25"/>
      <c r="K7" s="25"/>
      <c r="L7" s="31"/>
      <c r="M7" s="14"/>
    </row>
    <row r="8" customFormat="false" ht="15" hidden="false" customHeight="true" outlineLevel="0" collapsed="false">
      <c r="A8" s="2"/>
      <c r="B8" s="7"/>
      <c r="C8" s="7"/>
      <c r="D8" s="7"/>
      <c r="E8" s="7"/>
      <c r="F8" s="7"/>
      <c r="G8" s="7"/>
      <c r="H8" s="7"/>
      <c r="I8" s="7"/>
      <c r="J8" s="7"/>
      <c r="K8" s="7"/>
      <c r="L8" s="7"/>
      <c r="M8" s="2"/>
    </row>
    <row r="9" s="17" customFormat="true" ht="34.5" hidden="false" customHeight="true" outlineLevel="0" collapsed="false">
      <c r="A9" s="7"/>
      <c r="B9" s="32" t="s">
        <v>11</v>
      </c>
      <c r="C9" s="32" t="s">
        <v>12</v>
      </c>
      <c r="D9" s="32" t="s">
        <v>13</v>
      </c>
      <c r="E9" s="32" t="s">
        <v>14</v>
      </c>
      <c r="F9" s="33"/>
      <c r="G9" s="32" t="s">
        <v>15</v>
      </c>
      <c r="H9" s="34" t="s">
        <v>16</v>
      </c>
      <c r="I9" s="34" t="s">
        <v>17</v>
      </c>
      <c r="J9" s="34" t="s">
        <v>18</v>
      </c>
      <c r="K9" s="34" t="s">
        <v>19</v>
      </c>
      <c r="L9" s="35" t="s">
        <v>20</v>
      </c>
      <c r="M9" s="36"/>
    </row>
    <row r="10" s="17" customFormat="true" ht="34.5" hidden="false" customHeight="true" outlineLevel="0" collapsed="false">
      <c r="A10" s="7"/>
      <c r="B10" s="37" t="n">
        <f aca="false">Week_Starting</f>
        <v>46277</v>
      </c>
      <c r="C10" s="38" t="n">
        <v>0.378472222222222</v>
      </c>
      <c r="D10" s="39" t="n">
        <v>15</v>
      </c>
      <c r="E10" s="40" t="n">
        <v>0.75</v>
      </c>
      <c r="F10" s="41"/>
      <c r="G10" s="42" t="n">
        <f aca="false">MROUND((IF(OR(C10="",E10=""),0,IF(E10&lt;C10,E10+1-C10,E10-C10))-D10/1440),1/1440)</f>
        <v>0.361111111111111</v>
      </c>
      <c r="H10" s="43" t="n">
        <v>0.333333333333333</v>
      </c>
      <c r="I10" s="44" t="n">
        <v>0.0277777777777778</v>
      </c>
      <c r="J10" s="44"/>
      <c r="K10" s="44"/>
      <c r="L10" s="45"/>
      <c r="M10" s="36"/>
      <c r="N10" s="26"/>
    </row>
    <row r="11" s="17" customFormat="true" ht="34.5" hidden="false" customHeight="true" outlineLevel="0" collapsed="false">
      <c r="A11" s="7"/>
      <c r="B11" s="46" t="n">
        <f aca="false">B10+1</f>
        <v>46278</v>
      </c>
      <c r="C11" s="47" t="n">
        <v>0.378472222222222</v>
      </c>
      <c r="D11" s="48" t="n">
        <v>30</v>
      </c>
      <c r="E11" s="49" t="n">
        <v>0.739583333333333</v>
      </c>
      <c r="F11" s="41"/>
      <c r="G11" s="42" t="n">
        <f aca="false">MROUND((IF(OR(C11="",E11=""),0,IF(E11&lt;C11,E11+1-C11,E11-C11))-D11/1440),1/1440)</f>
        <v>0.340277777777778</v>
      </c>
      <c r="H11" s="43" t="n">
        <v>0.333333333333333</v>
      </c>
      <c r="I11" s="44" t="n">
        <v>0.00694444444444448</v>
      </c>
      <c r="J11" s="44"/>
      <c r="K11" s="44"/>
      <c r="L11" s="45"/>
      <c r="M11" s="36"/>
      <c r="N11" s="26"/>
    </row>
    <row r="12" s="17" customFormat="true" ht="34.5" hidden="false" customHeight="true" outlineLevel="0" collapsed="false">
      <c r="A12" s="7"/>
      <c r="B12" s="50" t="n">
        <f aca="false">B11+1</f>
        <v>46279</v>
      </c>
      <c r="C12" s="47" t="n">
        <v>0.375</v>
      </c>
      <c r="D12" s="48" t="n">
        <v>45</v>
      </c>
      <c r="E12" s="51" t="n">
        <v>0.770833333333333</v>
      </c>
      <c r="F12" s="41"/>
      <c r="G12" s="52" t="n">
        <f aca="false">MROUND((IF(OR(C12="",E12=""),0,IF(E12&lt;C12,E12+1-C12,E12-C12))-D12/1440),1/1440)</f>
        <v>0.364583333333333</v>
      </c>
      <c r="H12" s="53" t="n">
        <v>0.333333333333333</v>
      </c>
      <c r="I12" s="53" t="n">
        <v>0.0312500000000001</v>
      </c>
      <c r="J12" s="53"/>
      <c r="K12" s="53"/>
      <c r="L12" s="54"/>
      <c r="M12" s="36"/>
    </row>
    <row r="13" s="17" customFormat="true" ht="34.5" hidden="false" customHeight="true" outlineLevel="0" collapsed="false">
      <c r="A13" s="7"/>
      <c r="B13" s="37" t="n">
        <f aca="false">B12+1</f>
        <v>46280</v>
      </c>
      <c r="C13" s="47" t="n">
        <v>0.375</v>
      </c>
      <c r="D13" s="55" t="n">
        <v>45</v>
      </c>
      <c r="E13" s="49" t="n">
        <v>0.770833333333333</v>
      </c>
      <c r="F13" s="41"/>
      <c r="G13" s="52" t="n">
        <f aca="false">MROUND((IF(OR(C13="",E13=""),0,IF(E13&lt;C13,E13+1-C13,E13-C13))-D13/1440),1/1440)</f>
        <v>0.364583333333333</v>
      </c>
      <c r="H13" s="53" t="n">
        <v>0.333333333333333</v>
      </c>
      <c r="I13" s="53" t="n">
        <v>0.0312500000000001</v>
      </c>
      <c r="J13" s="53"/>
      <c r="K13" s="53"/>
      <c r="L13" s="54"/>
      <c r="M13" s="36"/>
    </row>
    <row r="14" s="17" customFormat="true" ht="34.5" hidden="false" customHeight="true" outlineLevel="0" collapsed="false">
      <c r="A14" s="7"/>
      <c r="B14" s="50" t="n">
        <f aca="false">B13+1</f>
        <v>46281</v>
      </c>
      <c r="C14" s="51"/>
      <c r="D14" s="48"/>
      <c r="E14" s="51"/>
      <c r="F14" s="41"/>
      <c r="G14" s="52" t="n">
        <f aca="false">MROUND((IF(OR(C14="",E14=""),0,IF(E14&lt;C14,E14+1-C14,E14-C14))-D14/1440),1/1440)</f>
        <v>0</v>
      </c>
      <c r="H14" s="53"/>
      <c r="I14" s="53"/>
      <c r="J14" s="53" t="n">
        <v>0.333333333333333</v>
      </c>
      <c r="K14" s="53"/>
      <c r="L14" s="54"/>
      <c r="M14" s="36"/>
    </row>
    <row r="15" s="17" customFormat="true" ht="34.5" hidden="false" customHeight="true" outlineLevel="0" collapsed="false">
      <c r="A15" s="7"/>
      <c r="B15" s="50" t="n">
        <f aca="false">B14+1</f>
        <v>46282</v>
      </c>
      <c r="C15" s="47"/>
      <c r="D15" s="48"/>
      <c r="E15" s="51"/>
      <c r="F15" s="41"/>
      <c r="G15" s="52" t="n">
        <f aca="false">MROUND((IF(OR(C15="",E15=""),0,IF(E15&lt;C15,E15+1-C15,E15-C15))-D15/1440),1/1440)</f>
        <v>0</v>
      </c>
      <c r="H15" s="56"/>
      <c r="I15" s="53"/>
      <c r="J15" s="53"/>
      <c r="K15" s="53" t="n">
        <v>0.333333333333333</v>
      </c>
      <c r="L15" s="54"/>
      <c r="M15" s="36"/>
    </row>
    <row r="16" s="17" customFormat="true" ht="34.5" hidden="false" customHeight="true" outlineLevel="0" collapsed="false">
      <c r="A16" s="7"/>
      <c r="B16" s="37" t="n">
        <f aca="false">B15+1</f>
        <v>46283</v>
      </c>
      <c r="C16" s="57"/>
      <c r="D16" s="55"/>
      <c r="E16" s="49"/>
      <c r="F16" s="41"/>
      <c r="G16" s="42" t="n">
        <f aca="false">MROUND((IF(OR(C16="",E16=""),0,IF(E16&lt;C16,E16+1-C16,E16-C16))-D16/1440),1/1440)</f>
        <v>0</v>
      </c>
      <c r="H16" s="44"/>
      <c r="I16" s="44"/>
      <c r="J16" s="44"/>
      <c r="K16" s="44"/>
      <c r="L16" s="45" t="n">
        <v>0.333333333333333</v>
      </c>
      <c r="M16" s="36"/>
    </row>
    <row r="17" customFormat="false" ht="34.5" hidden="false" customHeight="true" outlineLevel="0" collapsed="false">
      <c r="A17" s="2"/>
      <c r="B17" s="58"/>
      <c r="C17" s="58"/>
      <c r="D17" s="58"/>
      <c r="E17" s="58"/>
      <c r="F17" s="59"/>
      <c r="G17" s="60" t="s">
        <v>21</v>
      </c>
      <c r="H17" s="61" t="n">
        <f aca="false">SUM(H10:H16)</f>
        <v>1.33333333333333</v>
      </c>
      <c r="I17" s="61" t="n">
        <f aca="false">SUM(I10:I16)</f>
        <v>0.0972222222222224</v>
      </c>
      <c r="J17" s="61" t="n">
        <f aca="false">SUM(J10:J16)</f>
        <v>0.333333333333333</v>
      </c>
      <c r="K17" s="61" t="n">
        <f aca="false">SUM(K10:K16)</f>
        <v>0.333333333333333</v>
      </c>
      <c r="L17" s="62" t="n">
        <f aca="false">SUM(L10:L16)</f>
        <v>0.333333333333333</v>
      </c>
      <c r="M17" s="2"/>
    </row>
    <row r="18" customFormat="false" ht="30" hidden="false" customHeight="true" outlineLevel="0" collapsed="false">
      <c r="A18" s="2"/>
      <c r="B18" s="58"/>
      <c r="C18" s="58"/>
      <c r="D18" s="58"/>
      <c r="E18" s="58"/>
      <c r="F18" s="41"/>
      <c r="G18" s="55"/>
      <c r="H18" s="55"/>
      <c r="I18" s="55"/>
      <c r="J18" s="55"/>
      <c r="K18" s="55"/>
      <c r="L18" s="55"/>
      <c r="M18" s="2"/>
    </row>
    <row r="19" s="17" customFormat="true" ht="34.5" hidden="false" customHeight="true" outlineLevel="0" collapsed="false">
      <c r="A19" s="7"/>
      <c r="B19" s="63" t="s">
        <v>11</v>
      </c>
      <c r="C19" s="63" t="s">
        <v>12</v>
      </c>
      <c r="D19" s="63" t="s">
        <v>13</v>
      </c>
      <c r="E19" s="32" t="s">
        <v>14</v>
      </c>
      <c r="F19" s="64"/>
      <c r="G19" s="32" t="s">
        <v>15</v>
      </c>
      <c r="H19" s="34" t="s">
        <v>16</v>
      </c>
      <c r="I19" s="34" t="s">
        <v>17</v>
      </c>
      <c r="J19" s="34" t="s">
        <v>18</v>
      </c>
      <c r="K19" s="34" t="s">
        <v>22</v>
      </c>
      <c r="L19" s="35" t="s">
        <v>20</v>
      </c>
      <c r="M19" s="36"/>
      <c r="N19" s="26"/>
    </row>
    <row r="20" s="17" customFormat="true" ht="34.5" hidden="false" customHeight="true" outlineLevel="0" collapsed="false">
      <c r="A20" s="7"/>
      <c r="B20" s="37" t="n">
        <f aca="false">B16+1</f>
        <v>46284</v>
      </c>
      <c r="C20" s="38" t="n">
        <v>0.291666666666667</v>
      </c>
      <c r="D20" s="39" t="n">
        <v>60</v>
      </c>
      <c r="E20" s="40" t="n">
        <v>0.833333333333333</v>
      </c>
      <c r="F20" s="41"/>
      <c r="G20" s="42" t="n">
        <f aca="false">MROUND((IF(OR(C20="",E20=""),0,IF(E20&lt;C20,E20+1-C20,E20-C20))-D20/1440),1/1440)</f>
        <v>0.5</v>
      </c>
      <c r="H20" s="44" t="n">
        <f aca="false">Week2Time[[#This Row],[Time out]]-Week2Time[[#This Row],[Time in]]</f>
        <v>0.541666666666667</v>
      </c>
      <c r="I20" s="44"/>
      <c r="J20" s="44"/>
      <c r="K20" s="44"/>
      <c r="L20" s="45"/>
      <c r="M20" s="36"/>
    </row>
    <row r="21" s="17" customFormat="true" ht="34.5" hidden="false" customHeight="true" outlineLevel="0" collapsed="false">
      <c r="A21" s="7"/>
      <c r="B21" s="46" t="n">
        <f aca="false">B20+1</f>
        <v>46285</v>
      </c>
      <c r="C21" s="47" t="n">
        <v>0.333333333333333</v>
      </c>
      <c r="D21" s="48" t="n">
        <v>45</v>
      </c>
      <c r="E21" s="49" t="n">
        <v>0.6875</v>
      </c>
      <c r="F21" s="41"/>
      <c r="G21" s="52" t="n">
        <f aca="false">MROUND((IF(OR(C21="",E21=""),0,IF(E21&lt;C21,E21+1-C21,E21-C21))-D21/1440),1/1440)</f>
        <v>0.322916666666667</v>
      </c>
      <c r="H21" s="53"/>
      <c r="I21" s="53"/>
      <c r="J21" s="53" t="n">
        <f aca="false">Week2Time[[#This Row],[Time out]]-Week2Time[[#This Row],[Time in]]</f>
        <v>0.354166666666667</v>
      </c>
      <c r="K21" s="53"/>
      <c r="L21" s="54"/>
      <c r="M21" s="36"/>
    </row>
    <row r="22" s="17" customFormat="true" ht="34.5" hidden="false" customHeight="true" outlineLevel="0" collapsed="false">
      <c r="A22" s="7"/>
      <c r="B22" s="50" t="n">
        <f aca="false">B21+1</f>
        <v>46286</v>
      </c>
      <c r="C22" s="47"/>
      <c r="D22" s="48"/>
      <c r="E22" s="51"/>
      <c r="F22" s="41"/>
      <c r="G22" s="52" t="n">
        <f aca="false">MROUND((IF(OR(C22="",E22=""),0,IF(E22&lt;C22,E22+1-C22,E22-C22))-D22/1440),1/1440)</f>
        <v>0</v>
      </c>
      <c r="H22" s="56"/>
      <c r="I22" s="53"/>
      <c r="J22" s="53"/>
      <c r="K22" s="53"/>
      <c r="L22" s="54"/>
      <c r="M22" s="36"/>
    </row>
    <row r="23" s="17" customFormat="true" ht="34.5" hidden="false" customHeight="true" outlineLevel="0" collapsed="false">
      <c r="A23" s="7"/>
      <c r="B23" s="37" t="n">
        <f aca="false">B22+1</f>
        <v>46287</v>
      </c>
      <c r="C23" s="47"/>
      <c r="D23" s="55"/>
      <c r="E23" s="49"/>
      <c r="F23" s="41"/>
      <c r="G23" s="52" t="n">
        <f aca="false">MROUND((IF(OR(C23="",E23=""),0,IF(E23&lt;C23,E23+1-C23,E23-C23))-D23/1440),1/1440)</f>
        <v>0</v>
      </c>
      <c r="H23" s="56"/>
      <c r="I23" s="53"/>
      <c r="J23" s="53"/>
      <c r="K23" s="53"/>
      <c r="L23" s="54"/>
      <c r="M23" s="36"/>
    </row>
    <row r="24" s="17" customFormat="true" ht="34.5" hidden="false" customHeight="true" outlineLevel="0" collapsed="false">
      <c r="A24" s="7"/>
      <c r="B24" s="50" t="n">
        <f aca="false">B23+1</f>
        <v>46288</v>
      </c>
      <c r="C24" s="51"/>
      <c r="D24" s="48"/>
      <c r="E24" s="51"/>
      <c r="F24" s="41"/>
      <c r="G24" s="52" t="n">
        <f aca="false">MROUND((IF(OR(C24="",E24=""),0,IF(E24&lt;C24,E24+1-C24,E24-C24))-D24/1440),1/1440)</f>
        <v>0</v>
      </c>
      <c r="H24" s="56"/>
      <c r="I24" s="53"/>
      <c r="J24" s="53"/>
      <c r="K24" s="53"/>
      <c r="L24" s="54"/>
      <c r="M24" s="36"/>
    </row>
    <row r="25" s="17" customFormat="true" ht="34.5" hidden="false" customHeight="true" outlineLevel="0" collapsed="false">
      <c r="A25" s="7"/>
      <c r="B25" s="50" t="n">
        <f aca="false">B24+1</f>
        <v>46289</v>
      </c>
      <c r="C25" s="47"/>
      <c r="D25" s="48"/>
      <c r="E25" s="51"/>
      <c r="F25" s="41"/>
      <c r="G25" s="52" t="n">
        <f aca="false">MROUND((IF(OR(C25="",E25=""),0,IF(E25&lt;C25,E25+1-C25,E25-C25))-D25/1440),1/1440)</f>
        <v>0</v>
      </c>
      <c r="H25" s="56"/>
      <c r="I25" s="53"/>
      <c r="J25" s="53"/>
      <c r="K25" s="53"/>
      <c r="L25" s="54"/>
      <c r="M25" s="36"/>
    </row>
    <row r="26" s="17" customFormat="true" ht="34.5" hidden="false" customHeight="true" outlineLevel="0" collapsed="false">
      <c r="A26" s="7"/>
      <c r="B26" s="37" t="n">
        <f aca="false">B25+1</f>
        <v>46290</v>
      </c>
      <c r="C26" s="57"/>
      <c r="D26" s="55"/>
      <c r="E26" s="49"/>
      <c r="F26" s="41"/>
      <c r="G26" s="42" t="n">
        <f aca="false">MROUND((IF(OR(C26="",E26=""),0,IF(E26&lt;C26,E26+1-C26,E26-C26))-D26/1440),1/1440)</f>
        <v>0</v>
      </c>
      <c r="H26" s="43"/>
      <c r="I26" s="44"/>
      <c r="J26" s="44"/>
      <c r="K26" s="44"/>
      <c r="L26" s="45"/>
      <c r="M26" s="36"/>
    </row>
    <row r="27" customFormat="false" ht="34.5" hidden="false" customHeight="true" outlineLevel="0" collapsed="false">
      <c r="A27" s="2"/>
      <c r="B27" s="59"/>
      <c r="C27" s="59"/>
      <c r="D27" s="59"/>
      <c r="E27" s="59"/>
      <c r="F27" s="59"/>
      <c r="G27" s="65" t="s">
        <v>21</v>
      </c>
      <c r="H27" s="61" t="n">
        <f aca="false">SUM(H20:H26)</f>
        <v>0.541666666666667</v>
      </c>
      <c r="I27" s="61" t="n">
        <f aca="false">SUM(I20:I26)</f>
        <v>0</v>
      </c>
      <c r="J27" s="61" t="n">
        <f aca="false">SUM(J20:J26)</f>
        <v>0.354166666666667</v>
      </c>
      <c r="K27" s="61" t="n">
        <f aca="false">SUM(K20:K26)</f>
        <v>0</v>
      </c>
      <c r="L27" s="62" t="n">
        <f aca="false">SUM(L20:L26)</f>
        <v>0</v>
      </c>
      <c r="M27" s="2"/>
    </row>
    <row r="28" customFormat="false" ht="34.5" hidden="false" customHeight="true" outlineLevel="0" collapsed="false">
      <c r="A28" s="2"/>
      <c r="B28" s="66"/>
      <c r="C28" s="66"/>
      <c r="D28" s="66"/>
      <c r="E28" s="66"/>
      <c r="F28" s="66"/>
      <c r="G28" s="67"/>
      <c r="H28" s="68"/>
      <c r="I28" s="68"/>
      <c r="J28" s="68"/>
      <c r="K28" s="68"/>
      <c r="L28" s="68"/>
      <c r="M28" s="2"/>
    </row>
    <row r="29" customFormat="false" ht="34.5" hidden="false" customHeight="true" outlineLevel="0" collapsed="false">
      <c r="A29" s="2"/>
      <c r="B29" s="2"/>
      <c r="C29" s="2"/>
      <c r="D29" s="2"/>
      <c r="E29" s="2"/>
      <c r="F29" s="69"/>
      <c r="G29" s="70" t="s">
        <v>23</v>
      </c>
      <c r="H29" s="70" t="s">
        <v>24</v>
      </c>
      <c r="I29" s="70" t="s">
        <v>25</v>
      </c>
      <c r="J29" s="70" t="s">
        <v>26</v>
      </c>
      <c r="K29" s="70" t="s">
        <v>27</v>
      </c>
      <c r="L29" s="70" t="s">
        <v>28</v>
      </c>
      <c r="M29" s="2"/>
    </row>
    <row r="30" s="17" customFormat="true" ht="34.5" hidden="false" customHeight="true" outlineLevel="0" collapsed="false">
      <c r="A30" s="7"/>
      <c r="B30" s="71"/>
      <c r="C30" s="71"/>
      <c r="D30" s="71"/>
      <c r="E30" s="72"/>
      <c r="F30" s="25"/>
      <c r="G30" s="73" t="s">
        <v>29</v>
      </c>
      <c r="H30" s="74" t="n">
        <v>15</v>
      </c>
      <c r="I30" s="75" t="n">
        <f aca="false">1.5*H30</f>
        <v>22.5</v>
      </c>
      <c r="J30" s="76" t="n">
        <v>15</v>
      </c>
      <c r="K30" s="75" t="n">
        <v>15</v>
      </c>
      <c r="L30" s="77" t="n">
        <v>15</v>
      </c>
      <c r="M30" s="36"/>
      <c r="N30" s="26"/>
    </row>
    <row r="31" s="17" customFormat="true" ht="34.5" hidden="false" customHeight="true" outlineLevel="0" collapsed="false">
      <c r="A31" s="7"/>
      <c r="B31" s="78" t="s">
        <v>30</v>
      </c>
      <c r="C31" s="78"/>
      <c r="D31" s="78"/>
      <c r="E31" s="79" t="s">
        <v>31</v>
      </c>
      <c r="F31" s="25"/>
      <c r="G31" s="80" t="s">
        <v>32</v>
      </c>
      <c r="H31" s="81" t="n">
        <f aca="false">ROUND((H27+H17)*24*H30,2)</f>
        <v>675</v>
      </c>
      <c r="I31" s="82" t="n">
        <f aca="false">ROUND((I27+I17)*24*I30,2)</f>
        <v>52.5</v>
      </c>
      <c r="J31" s="82" t="n">
        <f aca="false">ROUND((J27+J17)*24*J30,2)</f>
        <v>247.5</v>
      </c>
      <c r="K31" s="82" t="n">
        <f aca="false">ROUND((K27+K17)*24*K30,2)</f>
        <v>120</v>
      </c>
      <c r="L31" s="82" t="n">
        <f aca="false">ROUND((L27+L17)*24*L30,2)</f>
        <v>120</v>
      </c>
      <c r="M31" s="36"/>
    </row>
    <row r="32" customFormat="false" ht="34.5" hidden="false" customHeight="true" outlineLevel="0" collapsed="false">
      <c r="A32" s="2"/>
      <c r="B32" s="83"/>
      <c r="C32" s="83"/>
      <c r="D32" s="83"/>
      <c r="E32" s="84"/>
      <c r="F32" s="85"/>
      <c r="G32" s="86"/>
      <c r="H32" s="86"/>
      <c r="I32" s="86"/>
      <c r="J32" s="86"/>
      <c r="K32" s="86"/>
      <c r="L32" s="86"/>
      <c r="M32" s="2"/>
    </row>
    <row r="33" customFormat="false" ht="34.5" hidden="false" customHeight="true" outlineLevel="0" collapsed="false">
      <c r="A33" s="2"/>
      <c r="B33" s="87" t="s">
        <v>33</v>
      </c>
      <c r="C33" s="87"/>
      <c r="D33" s="87"/>
      <c r="E33" s="25" t="s">
        <v>31</v>
      </c>
      <c r="F33" s="85"/>
      <c r="G33" s="88" t="s">
        <v>34</v>
      </c>
      <c r="H33" s="88"/>
      <c r="I33" s="88"/>
      <c r="J33" s="88"/>
      <c r="K33" s="89" t="n">
        <f aca="false">SUM(H31:L31)</f>
        <v>1215</v>
      </c>
      <c r="L33" s="89"/>
      <c r="M33" s="2"/>
    </row>
    <row r="34" customFormat="false" ht="34.5" hidden="false" customHeight="true" outlineLevel="0" collapsed="false">
      <c r="A34" s="2"/>
      <c r="B34" s="2"/>
      <c r="C34" s="2"/>
      <c r="D34" s="2"/>
      <c r="E34" s="2"/>
      <c r="F34" s="2"/>
      <c r="G34" s="2"/>
      <c r="H34" s="2"/>
      <c r="I34" s="2"/>
      <c r="J34" s="2"/>
      <c r="K34" s="2"/>
      <c r="L34" s="2"/>
      <c r="M34" s="2"/>
    </row>
  </sheetData>
  <mergeCells count="18">
    <mergeCell ref="B2:F2"/>
    <mergeCell ref="G2:L2"/>
    <mergeCell ref="B4:D4"/>
    <mergeCell ref="G4:H4"/>
    <mergeCell ref="I4:J4"/>
    <mergeCell ref="B5:D5"/>
    <mergeCell ref="G5:H5"/>
    <mergeCell ref="I5:J5"/>
    <mergeCell ref="B6:D6"/>
    <mergeCell ref="G6:H6"/>
    <mergeCell ref="I6:J6"/>
    <mergeCell ref="B7:D7"/>
    <mergeCell ref="B30:D30"/>
    <mergeCell ref="B31:D31"/>
    <mergeCell ref="B32:D32"/>
    <mergeCell ref="B33:D33"/>
    <mergeCell ref="G33:J33"/>
    <mergeCell ref="K33:L33"/>
  </mergeCells>
  <dataValidations count="25">
    <dataValidation allowBlank="true" error="Please use the following format for entering the time: 12:00 AM" errorStyle="stop" errorTitle="Incorrect Time Format" operator="between" showDropDown="false" showErrorMessage="true" showInputMessage="true" sqref="C10:C16 E10:E16 C20:C26 E20:E26" type="time">
      <formula1>0</formula1>
      <formula2>0.999988425925926</formula2>
    </dataValidation>
    <dataValidation allowBlank="true" errorStyle="stop" operator="between" prompt="Enter hours and minutes using the format H:MM such as 8:30 for 8 hours and 30 minutes, or 0:15 for 15 minutes.&#10;&#10;[Clear this message by removing Data Validation from these cells]" promptTitle="Entering Times" showDropDown="false" showErrorMessage="true" showInputMessage="true" sqref="H10:L16" type="none">
      <formula1>0</formula1>
      <formula2>0</formula2>
    </dataValidation>
    <dataValidation allowBlank="true" errorStyle="stop" operator="between" prompt="Enter company address 1 in this cell, address 2 in the cell below" showDropDown="false" showErrorMessage="true" showInputMessage="true" sqref="B4:D4" type="none">
      <formula1>0</formula1>
      <formula2>0</formula2>
    </dataValidation>
    <dataValidation allowBlank="true" errorStyle="stop" operator="between" prompt="Enter company City, State, and Zip code in this cell and the company phone number in the cell below" showDropDown="false" showErrorMessage="true" showInputMessage="true" sqref="B6:D6" type="none">
      <formula1>0</formula1>
      <formula2>0</formula2>
    </dataValidation>
    <dataValidation allowBlank="true" errorStyle="stop" operator="between" prompt="Enter company phone number in cell A5.&#10;Next instruction is in cell A7." showDropDown="false" showErrorMessage="true" showInputMessage="false" sqref="B7:D7" type="none">
      <formula1>0</formula1>
      <formula2>0</formula2>
    </dataValidation>
    <dataValidation allowBlank="true" errorStyle="stop" operator="between" prompt="2 tables for tracking a 2nd week of time starts in A17 &amp; F17. Column E is blank. Column F in 2nd table calculates total time based on Time In, Breaks, &amp; Time Out. Cells A17-K17 have table headers. Hide 2nd week for weekly time sheet instead of biweekly" showDropDown="false" showErrorMessage="true" showInputMessage="false" sqref="B19" type="none">
      <formula1>0</formula1>
      <formula2>0</formula2>
    </dataValidation>
    <dataValidation allowBlank="true" errorStyle="stop" operator="between" prompt="Day of the week is in A18. Enter Time In, Breaks, and Time Out starting in B18 though D18.  Continue to G18 through K18 to enter Regular hours, Overtime hours, Sick hours, Holiday hours, and Vacation hours. Total hours are auto calculated in F18." showDropDown="false" showErrorMessage="true" showInputMessage="false" sqref="B10 B20" type="none">
      <formula1>0</formula1>
      <formula2>0</formula2>
    </dataValidation>
    <dataValidation allowBlank="true" errorStyle="stop" operator="between" prompt="Day of the week is in A19. Enter Time In, Breaks, and Time Out starting in B19 though D19.  Continue to G19 through K19 to enter Regular hours, Overtime hours, Sick hours, Holiday hours, and Vacation hours. Total hours are auto calculated in F19." showDropDown="false" showErrorMessage="true" showInputMessage="false" sqref="B11 B21" type="none">
      <formula1>0</formula1>
      <formula2>0</formula2>
    </dataValidation>
    <dataValidation allowBlank="true" errorStyle="stop" operator="between" prompt="Day of the week is in A20. Enter Time In, Breaks, and Time Out starting in B20 though D20.  Continue to G20 through K20 to enter Regular hours, Overtime hours, Sick hours, Holiday hours, and Vacation hours. Total hours are auto calculated in F20." showDropDown="false" showErrorMessage="true" showInputMessage="false" sqref="B12 B22" type="none">
      <formula1>0</formula1>
      <formula2>0</formula2>
    </dataValidation>
    <dataValidation allowBlank="true" errorStyle="stop" operator="between" prompt="Day of the week is in A21. Enter Time In, Breaks, and Time Out starting in B21 though D21.  Continue to G21 through K21 to enter Regular hours, Overtime hours, Sick hours, Holiday hours, and Vacation hours. Total hours are auto calculated in F21." showDropDown="false" showErrorMessage="true" showInputMessage="false" sqref="B13 B23" type="none">
      <formula1>0</formula1>
      <formula2>0</formula2>
    </dataValidation>
    <dataValidation allowBlank="true" errorStyle="stop" operator="between" prompt="Day of the week is in A22. Enter Time In, Breaks, and Time Out starting in B22 though D22.  Continue to G22 through K22 to enter Regular hours, Overtime hours, Sick hours, Holiday hours, and Vacation hours. Total hours are auto calculated in F22." showDropDown="false" showErrorMessage="true" showInputMessage="false" sqref="B14 B24" type="none">
      <formula1>0</formula1>
      <formula2>0</formula2>
    </dataValidation>
    <dataValidation allowBlank="true" errorStyle="stop" operator="between" prompt="Day of the week is in A23. Enter Time In, Breaks, and Time Out starting in B23 though D23.  Continue to G23 through K23 to enter Regular hours, Overtime hours, Sick hours, Holiday hours, and Vacation hours. Total hours are auto calculated in F23." showDropDown="false" showErrorMessage="true" showInputMessage="false" sqref="B15 B25" type="none">
      <formula1>0</formula1>
      <formula2>0</formula2>
    </dataValidation>
    <dataValidation allowBlank="true" errorStyle="stop" operator="between" prompt="Day of the week is in A24. Enter Time In, Breaks, and Time Out starting in B24 though D24.  Continue to G24 through K24 to enter Regular hours, Overtime hours, Sick hours, Holiday hours, and Vacation hours. Total hours are auto calculated in F24." showDropDown="false" showErrorMessage="true" showInputMessage="false" sqref="B16 B26" type="none">
      <formula1>0</formula1>
      <formula2>0</formula2>
    </dataValidation>
    <dataValidation allowBlank="true" errorStyle="stop" operator="between" prompt="Weekly Total Regular, Overtime, Sick, Holiday, and Vacation hours are auto calculated in cells G25 through K25.&#10;Continue to A27 for the next instruction.&#10;" showDropDown="false" showErrorMessage="true" showInputMessage="false" sqref="B27" type="none">
      <formula1>0</formula1>
      <formula2>0</formula2>
    </dataValidation>
    <dataValidation allowBlank="true" errorStyle="stop" operator="between" prompt="Labels Regular, Overtime, Sick, Holiday, and Vacation are in cells G27 through K27. Enter the rate of pay per hour for these headings in cells G28 through K28. " showDropDown="false" showErrorMessage="true" showInputMessage="false" sqref="B29" type="none">
      <formula1>0</formula1>
      <formula2>0</formula2>
    </dataValidation>
    <dataValidation allowBlank="true" errorStyle="stop" operator="between" prompt="Enter the employee signature in A28 followed by the date in D28.&#10;Enter Rate per Hr in cells G28 through K28.&#10;Delete the rate and pay rows if you don't need them." showDropDown="false" showErrorMessage="true" showInputMessage="false" sqref="B30:D30" type="none">
      <formula1>0</formula1>
      <formula2>0</formula2>
    </dataValidation>
    <dataValidation allowBlank="true" errorStyle="stop" operator="between" prompt="Employee Signature label is in A29 and Date lable is in D29. &#10;Total pay is auto calculated for Regular, Overtime, Sick, Holiday and Vacation in cells G29 through K29.&#10;Grand Total pay is in J31." showDropDown="false" showErrorMessage="true" showInputMessage="false" sqref="B31:D31" type="none">
      <formula1>0</formula1>
      <formula2>0</formula2>
    </dataValidation>
    <dataValidation allowBlank="true" errorStyle="stop" operator="between" prompt="Enter the manager signature in A30 followed by the date in D30." showDropDown="false" showErrorMessage="true" showInputMessage="false" sqref="B32:D32" type="none">
      <formula1>0</formula1>
      <formula2>0</formula2>
    </dataValidation>
    <dataValidation allowBlank="true" errorStyle="stop" operator="between" prompt="Manager Signature label is in A31 and Date label is in D31.&#10;Grand Total pay is in J31.&#10;" showDropDown="false" showErrorMessage="true" showInputMessage="false" sqref="B33:D33" type="none">
      <formula1>0</formula1>
      <formula2>0</formula2>
    </dataValidation>
    <dataValidation allowBlank="true" errorStyle="stop" operator="between" prompt="Create a weekly time sheet in this worksheet." showDropDown="false" showErrorMessage="true" showInputMessage="true" sqref="A1" type="none">
      <formula1>0</formula1>
      <formula2>0</formula2>
    </dataValidation>
    <dataValidation allowBlank="true" errorStyle="stop" operator="between" prompt=" Enter the title of this worksheet is in this cell. " showDropDown="false" showErrorMessage="true" showInputMessage="true" sqref="B2:F2" type="none">
      <formula1>0</formula1>
      <formula2>0</formula2>
    </dataValidation>
    <dataValidation allowBlank="true" errorStyle="stop" operator="between" prompt="Enter your company name in this cell" showDropDown="false" showErrorMessage="true" showInputMessage="true" sqref="G2:L2" type="none">
      <formula1>0</formula1>
      <formula2>0</formula2>
    </dataValidation>
    <dataValidation allowBlank="true" errorStyle="stop" operator="between" prompt="Enter employee name in this cell" showDropDown="false" showErrorMessage="true" showInputMessage="true" sqref="I4:J4" type="none">
      <formula1>0</formula1>
      <formula2>0</formula2>
    </dataValidation>
    <dataValidation allowBlank="true" errorStyle="stop" operator="between" prompt="Enter manager name in this cell" showDropDown="false" showErrorMessage="true" showInputMessage="true" sqref="I5:J5" type="none">
      <formula1>0</formula1>
      <formula2>0</formula2>
    </dataValidation>
    <dataValidation allowBlank="true" errorStyle="stop" operator="between" prompt="Enter week start date in this cell" showDropDown="false" showErrorMessage="true" showInputMessage="true" sqref="I6:J6" type="none">
      <formula1>0</formula1>
      <formula2>0</formula2>
    </dataValidation>
  </dataValidations>
  <printOptions headings="false" gridLines="false" gridLinesSet="true" horizontalCentered="tru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TM67403092</Template>
  <TotalTime>1472</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2023-02-09T22:23:30Z</dcterms:created>
  <dc:creator/>
  <dc:description/>
  <dc:language>en-US</dc:language>
  <cp:lastModifiedBy/>
  <dcterms:modified xsi:type="dcterms:W3CDTF">2026-09-12T12:27:10Z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