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filterPrivacy="1"/>
  <xr:revisionPtr revIDLastSave="0" documentId="13_ncr:1_{A0EDCBF9-C2E0-48FF-ABFA-BC3B35DD80D3}" xr6:coauthVersionLast="47" xr6:coauthVersionMax="47" xr10:uidLastSave="{00000000-0000-0000-0000-000000000000}"/>
  <bookViews>
    <workbookView xWindow="-98" yWindow="-98" windowWidth="28996" windowHeight="15675" xr2:uid="{00000000-000D-0000-FFFF-FFFF00000000}"/>
  </bookViews>
  <sheets>
    <sheet name="TimeSheet" sheetId="15" r:id="rId1"/>
  </sheets>
  <definedNames>
    <definedName name="_xlnm.Print_Area" localSheetId="0">TimeSheet!$B$2:$L$33</definedName>
    <definedName name="Week_Starting">TimeSheet!$I$6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 i="15" l="1"/>
  <c r="G21" i="15"/>
  <c r="G22" i="15"/>
  <c r="G23" i="15"/>
  <c r="G24" i="15"/>
  <c r="G25" i="15"/>
  <c r="G26" i="15"/>
  <c r="H27" i="15"/>
  <c r="I27" i="15"/>
  <c r="J27" i="15"/>
  <c r="K27" i="15"/>
  <c r="L27" i="15"/>
  <c r="I6" i="15" l="1"/>
  <c r="B10" i="15" s="1"/>
  <c r="B11" i="15" s="1"/>
  <c r="B12" i="15" s="1"/>
  <c r="B13" i="15" s="1"/>
  <c r="B14" i="15" s="1"/>
  <c r="B15" i="15" s="1"/>
  <c r="B16" i="15" s="1"/>
  <c r="B20" i="15" s="1"/>
  <c r="B21" i="15" s="1"/>
  <c r="B22" i="15" s="1"/>
  <c r="B23" i="15" s="1"/>
  <c r="B24" i="15" s="1"/>
  <c r="B25" i="15" s="1"/>
  <c r="B26" i="15" s="1"/>
  <c r="H17" i="15"/>
  <c r="I17" i="15"/>
  <c r="J17" i="15"/>
  <c r="K17" i="15"/>
  <c r="L17" i="15"/>
  <c r="L31" i="15" s="1"/>
  <c r="G11" i="15"/>
  <c r="G12" i="15"/>
  <c r="G13" i="15"/>
  <c r="G14" i="15"/>
  <c r="G15" i="15"/>
  <c r="G16" i="15"/>
  <c r="G10" i="15"/>
  <c r="I30" i="15"/>
  <c r="J31" i="15" l="1"/>
  <c r="K31" i="15"/>
  <c r="H31" i="15"/>
  <c r="I31" i="15"/>
  <c r="K33" i="15" s="1"/>
</calcChain>
</file>

<file path=xl/sharedStrings.xml><?xml version="1.0" encoding="utf-8"?>
<sst xmlns="http://schemas.openxmlformats.org/spreadsheetml/2006/main" count="46" uniqueCount="34">
  <si>
    <t>TIME SHEET</t>
  </si>
  <si>
    <t>Total</t>
  </si>
  <si>
    <t>Regular</t>
  </si>
  <si>
    <t>Overtime</t>
  </si>
  <si>
    <t>Sick</t>
  </si>
  <si>
    <t>Holiday</t>
  </si>
  <si>
    <t>Vacation</t>
  </si>
  <si>
    <t>Employee Signature</t>
  </si>
  <si>
    <t>Date</t>
  </si>
  <si>
    <t>Manager Signature</t>
  </si>
  <si>
    <t>Shir Rosenstein</t>
  </si>
  <si>
    <t>Employee name:</t>
  </si>
  <si>
    <t>Manager name:</t>
  </si>
  <si>
    <t>Week starting:</t>
  </si>
  <si>
    <t>Day of week</t>
  </si>
  <si>
    <t>Rate/hr:</t>
  </si>
  <si>
    <t>Total pay:</t>
  </si>
  <si>
    <t>Grand total pay:</t>
  </si>
  <si>
    <t>Naoki Kaneko</t>
  </si>
  <si>
    <t>222 2nd Ave</t>
  </si>
  <si>
    <t>Bellevue, WA 54321</t>
  </si>
  <si>
    <t>Apt. 100</t>
  </si>
  <si>
    <t>(502) 555-0123</t>
  </si>
  <si>
    <t>NOD PUBLISHERS</t>
  </si>
  <si>
    <t>Breaks
(minutes)</t>
  </si>
  <si>
    <t>Total
[h]:mm</t>
  </si>
  <si>
    <t>Regular
[h]:mm</t>
  </si>
  <si>
    <t>Overtime
[h]:mm</t>
  </si>
  <si>
    <t>Sick
[h]:mm</t>
  </si>
  <si>
    <t>Holiday
[h]:mm</t>
  </si>
  <si>
    <t>Vacation
[h]:mm</t>
  </si>
  <si>
    <t>Time in</t>
  </si>
  <si>
    <t>Time out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</si>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</sst>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quot;$&quot;* #,##0.00_);_(&quot;$&quot;* \(#,##0.00\);_(&quot;$&quot;* &quot;-&quot;??_);_(@_)"/>
    <numFmt numFmtId="165" formatCode="_(* #,##0.00_);_(* \(#,##0.00\);_(* &quot;-&quot;??_);_(@_)"/>
    <numFmt numFmtId="166" formatCode="[$-409]h:mm\ AM/PM;@"/>
    <numFmt numFmtId="167" formatCode="ddd\ m/d"/>
    <numFmt numFmtId="168" formatCode="[h]:mm"/>
    <numFmt numFmtId="169" formatCode="[&lt;=9999999]###\-####;\(###\)\ ###\-####"/>
  </numFmts>
  <fonts count="41" x14ac:knownFonts="1">
    <font>
      <sz val="10"/>
      <name val="Arial"/>
      <family val="2"/>
    </font>
    <font>
      <sz val="10"/>
      <name val="Verdana"/>
      <family val="2"/>
    </font>
    <font>
      <u/>
      <sz val="10"/>
      <color indexed="12"/>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rial"/>
      <family val="2"/>
      <scheme val="minor"/>
    </font>
    <font>
      <b/>
      <sz val="11"/>
      <name val="Arial"/>
      <family val="2"/>
      <scheme val="minor"/>
    </font>
    <font>
      <b/>
      <sz val="10"/>
      <name val="Arial"/>
      <family val="2"/>
      <scheme val="minor"/>
    </font>
    <font>
      <b/>
      <sz val="10"/>
      <color theme="1" tint="0.34998626667073579"/>
      <name val="Arial"/>
      <family val="2"/>
      <scheme val="minor"/>
    </font>
    <font>
      <sz val="10"/>
      <color theme="1" tint="0.499984740745262"/>
      <name val="Arial"/>
      <family val="2"/>
      <scheme val="minor"/>
    </font>
    <font>
      <sz val="10"/>
      <color theme="1" tint="0.34998626667073579"/>
      <name val="Arial"/>
      <family val="2"/>
      <scheme val="minor"/>
    </font>
    <font>
      <b/>
      <sz val="20"/>
      <color theme="4" tint="-0.499984740745262"/>
      <name val="Arial"/>
      <family val="2"/>
      <scheme val="minor"/>
    </font>
    <font>
      <b/>
      <sz val="11"/>
      <name val="Arial"/>
      <family val="2"/>
      <scheme val="major"/>
    </font>
    <font>
      <b/>
      <sz val="36"/>
      <color theme="4" tint="-0.24994659260841701"/>
      <name val="Arial"/>
      <family val="2"/>
      <scheme val="major"/>
    </font>
    <font>
      <sz val="10"/>
      <color theme="0"/>
      <name val="Arial"/>
      <family val="2"/>
      <scheme val="minor"/>
    </font>
    <font>
      <b/>
      <sz val="20"/>
      <color theme="5"/>
      <name val="Arial"/>
      <family val="2"/>
      <scheme val="minor"/>
    </font>
    <font>
      <b/>
      <sz val="32"/>
      <color theme="4"/>
      <name val="Arial"/>
      <family val="2"/>
      <scheme val="major"/>
    </font>
    <font>
      <sz val="32"/>
      <color theme="5"/>
      <name val="Arial"/>
      <family val="2"/>
      <scheme val="major"/>
    </font>
    <font>
      <b/>
      <sz val="10"/>
      <color theme="5"/>
      <name val="Arial"/>
      <family val="2"/>
      <scheme val="major"/>
    </font>
    <font>
      <b/>
      <sz val="8"/>
      <color indexed="9"/>
      <name val="Arial"/>
      <family val="2"/>
      <scheme val="major"/>
    </font>
    <font>
      <sz val="8"/>
      <name val="Arial"/>
      <family val="2"/>
      <scheme val="major"/>
    </font>
    <font>
      <b/>
      <sz val="36"/>
      <color theme="5"/>
      <name val="Arial"/>
      <family val="2"/>
      <scheme val="minor"/>
    </font>
    <font>
      <b/>
      <sz val="10"/>
      <color theme="5"/>
      <name val="Arial"/>
      <family val="2"/>
      <scheme val="minor"/>
    </font>
    <font>
      <sz val="10"/>
      <color theme="5"/>
      <name val="Arial"/>
      <family val="2"/>
      <scheme val="minor"/>
    </font>
    <font>
      <b/>
      <sz val="8"/>
      <name val="Arial"/>
      <family val="2"/>
      <scheme val="minor"/>
    </font>
    <font>
      <b/>
      <sz val="8"/>
      <color theme="5"/>
      <name val="Arial"/>
      <family val="2"/>
      <scheme val="minor"/>
    </font>
    <font>
      <sz val="8"/>
      <color theme="5"/>
      <name val="Arial"/>
      <family val="2"/>
      <scheme val="minor"/>
    </font>
    <font>
      <sz val="8"/>
      <name val="Arial"/>
      <family val="2"/>
      <scheme val="minor"/>
    </font>
  </fonts>
  <fills count="22">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5"/>
        <bgColor indexed="64"/>
      </patternFill>
    </fill>
    <fill>
      <patternFill patternType="solid">
        <fgColor theme="4"/>
        <bgColor indexed="64"/>
      </patternFill>
    </fill>
  </fills>
  <borders count="45">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right/>
      <top/>
      <bottom style="thin">
        <color indexed="64"/>
      </bottom>
      <diagonal/>
    </border>
    <border>
      <left/>
      <right/>
      <top style="thin">
        <color rgb="FF002CB8"/>
      </top>
      <bottom/>
      <diagonal/>
    </border>
    <border>
      <left/>
      <right/>
      <top/>
      <bottom style="thin">
        <color rgb="FF002CB8"/>
      </bottom>
      <diagonal/>
    </border>
    <border>
      <left style="thick">
        <color rgb="FF002CB8"/>
      </left>
      <right/>
      <top style="thick">
        <color rgb="FF002CB8"/>
      </top>
      <bottom/>
      <diagonal/>
    </border>
    <border>
      <left/>
      <right/>
      <top style="thick">
        <color rgb="FF002CB8"/>
      </top>
      <bottom/>
      <diagonal/>
    </border>
    <border>
      <left/>
      <right style="thick">
        <color rgb="FF002CB8"/>
      </right>
      <top style="thick">
        <color rgb="FF002CB8"/>
      </top>
      <bottom/>
      <diagonal/>
    </border>
    <border>
      <left/>
      <right/>
      <top/>
      <bottom style="thick">
        <color rgb="FF002CB8"/>
      </bottom>
      <diagonal/>
    </border>
    <border>
      <left/>
      <right style="thick">
        <color rgb="FF002CB8"/>
      </right>
      <top/>
      <bottom style="thick">
        <color rgb="FF002CB8"/>
      </bottom>
      <diagonal/>
    </border>
    <border>
      <left style="thick">
        <color rgb="FF002CB8"/>
      </left>
      <right/>
      <top style="thick">
        <color rgb="FF002CB8"/>
      </top>
      <bottom style="thick">
        <color rgb="FF002CB8"/>
      </bottom>
      <diagonal/>
    </border>
    <border>
      <left/>
      <right/>
      <top style="thick">
        <color rgb="FF002CB8"/>
      </top>
      <bottom style="thick">
        <color rgb="FF002CB8"/>
      </bottom>
      <diagonal/>
    </border>
    <border>
      <left/>
      <right style="thick">
        <color rgb="FF002CB8"/>
      </right>
      <top style="thick">
        <color rgb="FF002CB8"/>
      </top>
      <bottom style="thick">
        <color rgb="FF002CB8"/>
      </bottom>
      <diagonal/>
    </border>
    <border>
      <left/>
      <right style="double">
        <color rgb="FF002CB8"/>
      </right>
      <top/>
      <bottom/>
      <diagonal/>
    </border>
    <border>
      <left style="double">
        <color rgb="FF002CB8"/>
      </left>
      <right/>
      <top/>
      <bottom/>
      <diagonal/>
    </border>
    <border>
      <left/>
      <right style="double">
        <color rgb="FF002CB8"/>
      </right>
      <top style="thin">
        <color rgb="FF002CB8"/>
      </top>
      <bottom/>
      <diagonal/>
    </border>
    <border>
      <left/>
      <right style="double">
        <color rgb="FF002CB8"/>
      </right>
      <top style="thin">
        <color rgb="FF002CB8"/>
      </top>
      <bottom style="thin">
        <color rgb="FF002CB8"/>
      </bottom>
      <diagonal/>
    </border>
    <border>
      <left style="thick">
        <color rgb="FF002CB8"/>
      </left>
      <right style="double">
        <color rgb="FF002CB8"/>
      </right>
      <top style="thin">
        <color rgb="FF002CB8"/>
      </top>
      <bottom style="thin">
        <color rgb="FF002CB8"/>
      </bottom>
      <diagonal/>
    </border>
    <border>
      <left style="double">
        <color rgb="FF002CB8"/>
      </left>
      <right/>
      <top/>
      <bottom style="thin">
        <color rgb="FF002CB8"/>
      </bottom>
      <diagonal/>
    </border>
    <border>
      <left/>
      <right/>
      <top style="thin">
        <color rgb="FF002CB8"/>
      </top>
      <bottom style="thin">
        <color rgb="FF002CB8"/>
      </bottom>
      <diagonal/>
    </border>
    <border>
      <left/>
      <right style="thick">
        <color rgb="FF002CB8"/>
      </right>
      <top style="thin">
        <color rgb="FF002CB8"/>
      </top>
      <bottom style="thin">
        <color rgb="FF002CB8"/>
      </bottom>
      <diagonal/>
    </border>
    <border>
      <left style="double">
        <color rgb="FF002CB8"/>
      </left>
      <right/>
      <top style="thin">
        <color rgb="FF002CB8"/>
      </top>
      <bottom style="thin">
        <color rgb="FF002CB8"/>
      </bottom>
      <diagonal/>
    </border>
    <border>
      <left style="thick">
        <color rgb="FF002CB8"/>
      </left>
      <right style="double">
        <color rgb="FF002CB8"/>
      </right>
      <top/>
      <bottom style="thick">
        <color rgb="FF002CB8"/>
      </bottom>
      <diagonal/>
    </border>
    <border>
      <left/>
      <right style="thick">
        <color rgb="FF002CB8"/>
      </right>
      <top/>
      <bottom style="thin">
        <color rgb="FF002CB8"/>
      </bottom>
      <diagonal/>
    </border>
    <border>
      <left style="thick">
        <color rgb="FF002CB8"/>
      </left>
      <right style="double">
        <color rgb="FF002CB8"/>
      </right>
      <top/>
      <bottom style="thin">
        <color rgb="FF002CB8"/>
      </bottom>
      <diagonal/>
    </border>
    <border>
      <left style="thick">
        <color rgb="FF002CB8"/>
      </left>
      <right style="double">
        <color rgb="FF002CB8"/>
      </right>
      <top style="thin">
        <color rgb="FF002CB8"/>
      </top>
      <bottom style="thick">
        <color rgb="FF002CB8"/>
      </bottom>
      <diagonal/>
    </border>
    <border>
      <left style="thin">
        <color rgb="FFFDDFDF"/>
      </left>
      <right/>
      <top/>
      <bottom/>
      <diagonal/>
    </border>
    <border>
      <left/>
      <right style="thin">
        <color rgb="FFFDDFDF"/>
      </right>
      <top/>
      <bottom/>
      <diagonal/>
    </border>
    <border>
      <left/>
      <right/>
      <top/>
      <bottom style="thick">
        <color theme="5"/>
      </bottom>
      <diagonal/>
    </border>
    <border>
      <left/>
      <right style="thick">
        <color theme="4"/>
      </right>
      <top/>
      <bottom/>
      <diagonal/>
    </border>
    <border>
      <left/>
      <right/>
      <top style="thick">
        <color rgb="FF002CB8"/>
      </top>
      <bottom style="thick">
        <color theme="4"/>
      </bottom>
      <diagonal/>
    </border>
    <border>
      <left/>
      <right style="double">
        <color rgb="FF002CB8"/>
      </right>
      <top/>
      <bottom style="thin">
        <color rgb="FF002CB8"/>
      </bottom>
      <diagonal/>
    </border>
    <border>
      <left/>
      <right/>
      <top style="thick">
        <color theme="5"/>
      </top>
      <bottom/>
      <diagonal/>
    </border>
    <border>
      <left/>
      <right/>
      <top style="thin">
        <color rgb="FF002CB8"/>
      </top>
      <bottom style="thin">
        <color theme="5"/>
      </bottom>
      <diagonal/>
    </border>
    <border>
      <left/>
      <right style="double">
        <color rgb="FF002CB8"/>
      </right>
      <top style="thin">
        <color rgb="FF002CB8"/>
      </top>
      <bottom style="thin">
        <color theme="5"/>
      </bottom>
      <diagonal/>
    </border>
    <border>
      <left style="double">
        <color rgb="FF002CB8"/>
      </left>
      <right/>
      <top style="thin">
        <color rgb="FF002CB8"/>
      </top>
      <bottom style="thin">
        <color theme="5"/>
      </bottom>
      <diagonal/>
    </border>
    <border>
      <left style="thick">
        <color rgb="FF002CB8"/>
      </left>
      <right style="double">
        <color rgb="FF002CB8"/>
      </right>
      <top style="thin">
        <color rgb="FF002CB8"/>
      </top>
      <bottom style="thin">
        <color theme="5"/>
      </bottom>
      <diagonal/>
    </border>
    <border>
      <left/>
      <right style="thick">
        <color rgb="FF002CB8"/>
      </right>
      <top style="thin">
        <color rgb="FF002CB8"/>
      </top>
      <bottom style="thin">
        <color theme="5"/>
      </bottom>
      <diagonal/>
    </border>
    <border>
      <left style="thin">
        <color theme="4"/>
      </left>
      <right/>
      <top/>
      <bottom style="thin">
        <color rgb="FF002CB8"/>
      </bottom>
      <diagonal/>
    </border>
    <border>
      <left style="thin">
        <color theme="4"/>
      </left>
      <right style="thin">
        <color theme="4"/>
      </right>
      <top/>
      <bottom style="thin">
        <color rgb="FF002CB8"/>
      </bottom>
      <diagonal/>
    </border>
  </borders>
  <cellStyleXfs count="49">
    <xf numFmtId="0" fontId="0" fillId="0" borderId="0">
      <alignment wrapText="1"/>
    </xf>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2"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6"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8"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0"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5" fillId="16" borderId="0" applyNumberFormat="0" applyBorder="0" applyAlignment="0" applyProtection="0"/>
    <xf numFmtId="0" fontId="6" fillId="17" borderId="1" applyNumberFormat="0" applyAlignment="0" applyProtection="0"/>
    <xf numFmtId="0" fontId="7" fillId="18" borderId="2" applyNumberFormat="0" applyAlignment="0" applyProtection="0"/>
    <xf numFmtId="165" fontId="1" fillId="0" borderId="0" applyFont="0" applyFill="0" applyBorder="0" applyAlignment="0" applyProtection="0"/>
    <xf numFmtId="164" fontId="1" fillId="0" borderId="0" applyFont="0" applyFill="0" applyBorder="0" applyAlignment="0" applyProtection="0"/>
    <xf numFmtId="0" fontId="8" fillId="0" borderId="0" applyNumberFormat="0" applyFill="0" applyBorder="0" applyAlignment="0" applyProtection="0"/>
    <xf numFmtId="0" fontId="9" fillId="19" borderId="0" applyNumberFormat="0" applyBorder="0" applyAlignment="0" applyProtection="0"/>
    <xf numFmtId="0" fontId="26" fillId="0" borderId="0" applyNumberFormat="0" applyFill="0" applyProtection="0">
      <alignment vertical="center"/>
    </xf>
    <xf numFmtId="0" fontId="24" fillId="0" borderId="0" applyNumberFormat="0" applyFill="0" applyProtection="0">
      <alignment horizontal="right" vertical="center"/>
    </xf>
    <xf numFmtId="0" fontId="19" fillId="0" borderId="0" applyNumberFormat="0" applyFill="0" applyProtection="0">
      <alignment wrapText="1"/>
    </xf>
    <xf numFmtId="0" fontId="25" fillId="0" borderId="0" applyNumberFormat="0" applyFill="0" applyProtection="0">
      <alignment horizontal="right"/>
    </xf>
    <xf numFmtId="0" fontId="2" fillId="0" borderId="0" applyNumberFormat="0" applyFill="0" applyBorder="0" applyAlignment="0" applyProtection="0">
      <alignment vertical="top"/>
      <protection locked="0"/>
    </xf>
    <xf numFmtId="0" fontId="10" fillId="11" borderId="1" applyNumberFormat="0" applyAlignment="0" applyProtection="0"/>
    <xf numFmtId="0" fontId="11" fillId="0" borderId="3" applyNumberFormat="0" applyFill="0" applyAlignment="0" applyProtection="0"/>
    <xf numFmtId="0" fontId="12" fillId="5" borderId="0" applyNumberFormat="0" applyBorder="0" applyAlignment="0" applyProtection="0"/>
    <xf numFmtId="0" fontId="13" fillId="5" borderId="4" applyNumberFormat="0" applyFont="0" applyAlignment="0" applyProtection="0"/>
    <xf numFmtId="0" fontId="14" fillId="17" borderId="5" applyNumberFormat="0" applyAlignment="0" applyProtection="0"/>
    <xf numFmtId="0" fontId="15" fillId="0" borderId="0" applyNumberFormat="0" applyFill="0" applyBorder="0" applyAlignment="0" applyProtection="0"/>
    <xf numFmtId="0" fontId="16" fillId="0" borderId="6" applyNumberFormat="0" applyFill="0" applyAlignment="0" applyProtection="0"/>
    <xf numFmtId="0" fontId="17" fillId="0" borderId="0" applyNumberFormat="0" applyFill="0" applyBorder="0" applyAlignment="0" applyProtection="0"/>
    <xf numFmtId="169" fontId="19" fillId="0" borderId="0" applyFont="0" applyFill="0" applyBorder="0" applyAlignment="0">
      <alignment vertical="center"/>
    </xf>
    <xf numFmtId="14" fontId="19" fillId="0" borderId="7">
      <alignment horizontal="center"/>
    </xf>
    <xf numFmtId="0" fontId="27" fillId="0" borderId="0"/>
    <xf numFmtId="165" fontId="20" fillId="0" borderId="0" applyFill="0" applyBorder="0" applyProtection="0">
      <alignment vertical="center"/>
    </xf>
  </cellStyleXfs>
  <cellXfs count="111">
    <xf numFmtId="0" fontId="0" fillId="0" borderId="0" xfId="0">
      <alignment wrapText="1"/>
    </xf>
    <xf numFmtId="0" fontId="18" fillId="0" borderId="0" xfId="0" applyFont="1">
      <alignment wrapText="1"/>
    </xf>
    <xf numFmtId="0" fontId="21" fillId="0" borderId="0" xfId="0" applyFont="1">
      <alignment wrapText="1"/>
    </xf>
    <xf numFmtId="0" fontId="22" fillId="0" borderId="0" xfId="36" applyFont="1" applyAlignment="1" applyProtection="1">
      <alignment vertical="center"/>
    </xf>
    <xf numFmtId="0" fontId="23" fillId="0" borderId="0" xfId="0" applyFont="1" applyAlignment="1">
      <alignment vertical="center"/>
    </xf>
    <xf numFmtId="0" fontId="18" fillId="21" borderId="0" xfId="0" applyFont="1" applyFill="1">
      <alignment wrapText="1"/>
    </xf>
    <xf numFmtId="0" fontId="28" fillId="21" borderId="0" xfId="33" applyFont="1" applyFill="1" applyAlignment="1">
      <alignment vertical="center"/>
    </xf>
    <xf numFmtId="0" fontId="32" fillId="20" borderId="0" xfId="0" applyFont="1" applyFill="1" applyAlignment="1">
      <alignment horizontal="center" vertical="center" wrapText="1"/>
    </xf>
    <xf numFmtId="0" fontId="32" fillId="20" borderId="10" xfId="0" applyFont="1" applyFill="1" applyBorder="1" applyAlignment="1">
      <alignment horizontal="center" vertical="center" wrapText="1"/>
    </xf>
    <xf numFmtId="0" fontId="32" fillId="20" borderId="11" xfId="0" applyFont="1" applyFill="1" applyBorder="1" applyAlignment="1">
      <alignment horizontal="center" vertical="center" wrapText="1"/>
    </xf>
    <xf numFmtId="0" fontId="32" fillId="20" borderId="12" xfId="0" applyFont="1" applyFill="1" applyBorder="1" applyAlignment="1">
      <alignment horizontal="center" vertical="center" wrapText="1"/>
    </xf>
    <xf numFmtId="0" fontId="33" fillId="20" borderId="0" xfId="0" applyFont="1" applyFill="1" applyAlignment="1">
      <alignment horizontal="center" vertical="center" wrapText="1"/>
    </xf>
    <xf numFmtId="0" fontId="34" fillId="21" borderId="0" xfId="32" applyFont="1" applyFill="1" applyAlignment="1">
      <alignment horizontal="left" vertical="center" indent="1"/>
    </xf>
    <xf numFmtId="0" fontId="18" fillId="21" borderId="0" xfId="0" applyFont="1" applyFill="1" applyAlignment="1">
      <alignment vertical="center"/>
    </xf>
    <xf numFmtId="0" fontId="35" fillId="21" borderId="0" xfId="35" applyFont="1" applyFill="1" applyAlignment="1">
      <alignment horizontal="left" indent="1"/>
    </xf>
    <xf numFmtId="0" fontId="35" fillId="21" borderId="0" xfId="35" applyFont="1" applyFill="1" applyAlignment="1"/>
    <xf numFmtId="0" fontId="36" fillId="21" borderId="9" xfId="0" applyFont="1" applyFill="1" applyBorder="1" applyAlignment="1">
      <alignment horizontal="left" indent="1"/>
    </xf>
    <xf numFmtId="0" fontId="36" fillId="21" borderId="0" xfId="0" applyFont="1" applyFill="1" applyAlignment="1">
      <alignment horizontal="left" indent="1"/>
    </xf>
    <xf numFmtId="0" fontId="18" fillId="21" borderId="31" xfId="0" applyFont="1" applyFill="1" applyBorder="1" applyAlignment="1">
      <alignment vertical="center"/>
    </xf>
    <xf numFmtId="0" fontId="18" fillId="0" borderId="0" xfId="0" applyFont="1" applyAlignment="1">
      <alignment vertical="center"/>
    </xf>
    <xf numFmtId="0" fontId="35" fillId="21" borderId="0" xfId="35" applyFont="1" applyFill="1" applyAlignment="1">
      <alignment horizontal="left"/>
    </xf>
    <xf numFmtId="0" fontId="36" fillId="21" borderId="24" xfId="0" applyFont="1" applyFill="1" applyBorder="1" applyAlignment="1">
      <alignment horizontal="left" wrapText="1" indent="1"/>
    </xf>
    <xf numFmtId="0" fontId="36" fillId="21" borderId="0" xfId="0" applyFont="1" applyFill="1" applyAlignment="1">
      <alignment horizontal="left" wrapText="1" indent="1"/>
    </xf>
    <xf numFmtId="14" fontId="36" fillId="21" borderId="24" xfId="0" applyNumberFormat="1" applyFont="1" applyFill="1" applyBorder="1" applyAlignment="1">
      <alignment horizontal="left" indent="1"/>
    </xf>
    <xf numFmtId="0" fontId="36" fillId="21" borderId="0" xfId="0" applyFont="1" applyFill="1" applyAlignment="1">
      <alignment vertical="center"/>
    </xf>
    <xf numFmtId="0" fontId="36" fillId="21" borderId="0" xfId="0" applyFont="1" applyFill="1" applyAlignment="1">
      <alignment horizontal="left" vertical="center" indent="1"/>
    </xf>
    <xf numFmtId="0" fontId="35" fillId="21" borderId="0" xfId="0" applyFont="1" applyFill="1" applyAlignment="1">
      <alignment vertical="center"/>
    </xf>
    <xf numFmtId="0" fontId="36" fillId="21" borderId="0" xfId="0" applyFont="1" applyFill="1" applyAlignment="1">
      <alignment horizontal="left" vertical="center"/>
    </xf>
    <xf numFmtId="0" fontId="36" fillId="21" borderId="32" xfId="0" applyFont="1" applyFill="1" applyBorder="1" applyAlignment="1">
      <alignment vertical="center"/>
    </xf>
    <xf numFmtId="0" fontId="37" fillId="21" borderId="0" xfId="0" applyFont="1" applyFill="1" applyAlignment="1">
      <alignment horizontal="center" vertical="center"/>
    </xf>
    <xf numFmtId="0" fontId="18" fillId="21" borderId="0" xfId="0" applyFont="1" applyFill="1" applyAlignment="1">
      <alignment horizontal="right" vertical="center"/>
    </xf>
    <xf numFmtId="167" fontId="38" fillId="21" borderId="18" xfId="0" applyNumberFormat="1" applyFont="1" applyFill="1" applyBorder="1" applyAlignment="1">
      <alignment horizontal="center" vertical="center"/>
    </xf>
    <xf numFmtId="166" fontId="39" fillId="21" borderId="23" xfId="0" applyNumberFormat="1" applyFont="1" applyFill="1" applyBorder="1" applyAlignment="1">
      <alignment horizontal="center" vertical="center"/>
    </xf>
    <xf numFmtId="0" fontId="39" fillId="21" borderId="0" xfId="0" applyFont="1" applyFill="1" applyAlignment="1">
      <alignment horizontal="center" vertical="center"/>
    </xf>
    <xf numFmtId="166" fontId="39" fillId="21" borderId="9" xfId="0" applyNumberFormat="1" applyFont="1" applyFill="1" applyBorder="1" applyAlignment="1">
      <alignment horizontal="center" vertical="center"/>
    </xf>
    <xf numFmtId="0" fontId="36" fillId="21" borderId="0" xfId="0" applyFont="1" applyFill="1" applyAlignment="1">
      <alignment horizontal="center" vertical="center"/>
    </xf>
    <xf numFmtId="168" fontId="38" fillId="21" borderId="29" xfId="0" applyNumberFormat="1" applyFont="1" applyFill="1" applyBorder="1" applyAlignment="1">
      <alignment horizontal="center" vertical="center"/>
    </xf>
    <xf numFmtId="168" fontId="39" fillId="21" borderId="23" xfId="0" applyNumberFormat="1" applyFont="1" applyFill="1" applyBorder="1" applyAlignment="1">
      <alignment horizontal="center" vertical="center"/>
    </xf>
    <xf numFmtId="168" fontId="39" fillId="21" borderId="9" xfId="0" applyNumberFormat="1" applyFont="1" applyFill="1" applyBorder="1" applyAlignment="1">
      <alignment horizontal="center" vertical="center"/>
    </xf>
    <xf numFmtId="168" fontId="39" fillId="21" borderId="28" xfId="0" applyNumberFormat="1" applyFont="1" applyFill="1" applyBorder="1" applyAlignment="1">
      <alignment horizontal="center" vertical="center"/>
    </xf>
    <xf numFmtId="167" fontId="38" fillId="21" borderId="20" xfId="0" applyNumberFormat="1" applyFont="1" applyFill="1" applyBorder="1" applyAlignment="1">
      <alignment horizontal="center" vertical="center"/>
    </xf>
    <xf numFmtId="166" fontId="39" fillId="21" borderId="26" xfId="0" applyNumberFormat="1" applyFont="1" applyFill="1" applyBorder="1" applyAlignment="1">
      <alignment horizontal="center" vertical="center"/>
    </xf>
    <xf numFmtId="166" fontId="39" fillId="21" borderId="24" xfId="0" applyNumberFormat="1" applyFont="1" applyFill="1" applyBorder="1" applyAlignment="1">
      <alignment horizontal="center" vertical="center"/>
    </xf>
    <xf numFmtId="0" fontId="39" fillId="21" borderId="24" xfId="0" applyFont="1" applyFill="1" applyBorder="1" applyAlignment="1">
      <alignment horizontal="center" vertical="center"/>
    </xf>
    <xf numFmtId="168" fontId="38" fillId="21" borderId="22" xfId="0" applyNumberFormat="1" applyFont="1" applyFill="1" applyBorder="1" applyAlignment="1">
      <alignment horizontal="center" vertical="center"/>
    </xf>
    <xf numFmtId="168" fontId="39" fillId="21" borderId="24" xfId="0" applyNumberFormat="1" applyFont="1" applyFill="1" applyBorder="1" applyAlignment="1">
      <alignment horizontal="center" vertical="center"/>
    </xf>
    <xf numFmtId="168" fontId="39" fillId="21" borderId="25" xfId="0" applyNumberFormat="1" applyFont="1" applyFill="1" applyBorder="1" applyAlignment="1">
      <alignment horizontal="center" vertical="center"/>
    </xf>
    <xf numFmtId="166" fontId="39" fillId="21" borderId="19" xfId="0" applyNumberFormat="1" applyFont="1" applyFill="1" applyBorder="1" applyAlignment="1">
      <alignment horizontal="center" vertical="center"/>
    </xf>
    <xf numFmtId="166" fontId="39" fillId="21" borderId="0" xfId="0" applyNumberFormat="1" applyFont="1" applyFill="1" applyAlignment="1">
      <alignment horizontal="center" vertical="center"/>
    </xf>
    <xf numFmtId="167" fontId="38" fillId="21" borderId="21" xfId="0" applyNumberFormat="1" applyFont="1" applyFill="1" applyBorder="1" applyAlignment="1">
      <alignment horizontal="center" vertical="center"/>
    </xf>
    <xf numFmtId="168" fontId="39" fillId="21" borderId="26" xfId="0" applyNumberFormat="1" applyFont="1" applyFill="1" applyBorder="1" applyAlignment="1">
      <alignment horizontal="center" vertical="center"/>
    </xf>
    <xf numFmtId="0" fontId="36" fillId="21" borderId="0" xfId="0" applyFont="1" applyFill="1" applyAlignment="1">
      <alignment horizontal="center" wrapText="1"/>
    </xf>
    <xf numFmtId="0" fontId="38" fillId="21" borderId="27" xfId="0" applyFont="1" applyFill="1" applyBorder="1" applyAlignment="1">
      <alignment horizontal="center" vertical="center"/>
    </xf>
    <xf numFmtId="168" fontId="38" fillId="21" borderId="13" xfId="0" applyNumberFormat="1" applyFont="1" applyFill="1" applyBorder="1" applyAlignment="1">
      <alignment horizontal="center" vertical="center"/>
    </xf>
    <xf numFmtId="168" fontId="38" fillId="21" borderId="14" xfId="0" applyNumberFormat="1" applyFont="1" applyFill="1" applyBorder="1" applyAlignment="1">
      <alignment horizontal="center" vertical="center"/>
    </xf>
    <xf numFmtId="0" fontId="20" fillId="21" borderId="0" xfId="0" applyFont="1" applyFill="1" applyAlignment="1">
      <alignment horizontal="center" vertical="center"/>
    </xf>
    <xf numFmtId="0" fontId="39" fillId="21" borderId="9" xfId="0" applyFont="1" applyFill="1" applyBorder="1" applyAlignment="1">
      <alignment horizontal="center" vertical="center"/>
    </xf>
    <xf numFmtId="167" fontId="38" fillId="21" borderId="39" xfId="0" applyNumberFormat="1" applyFont="1" applyFill="1" applyBorder="1" applyAlignment="1">
      <alignment horizontal="center" vertical="center"/>
    </xf>
    <xf numFmtId="166" fontId="39" fillId="21" borderId="40" xfId="0" applyNumberFormat="1" applyFont="1" applyFill="1" applyBorder="1" applyAlignment="1">
      <alignment horizontal="center" vertical="center"/>
    </xf>
    <xf numFmtId="0" fontId="39" fillId="21" borderId="38" xfId="0" applyFont="1" applyFill="1" applyBorder="1" applyAlignment="1">
      <alignment horizontal="center" vertical="center"/>
    </xf>
    <xf numFmtId="166" fontId="39" fillId="21" borderId="38" xfId="0" applyNumberFormat="1" applyFont="1" applyFill="1" applyBorder="1" applyAlignment="1">
      <alignment horizontal="center" vertical="center"/>
    </xf>
    <xf numFmtId="168" fontId="38" fillId="21" borderId="41" xfId="0" applyNumberFormat="1" applyFont="1" applyFill="1" applyBorder="1" applyAlignment="1">
      <alignment horizontal="center" vertical="center"/>
    </xf>
    <xf numFmtId="168" fontId="39" fillId="21" borderId="40" xfId="0" applyNumberFormat="1" applyFont="1" applyFill="1" applyBorder="1" applyAlignment="1">
      <alignment horizontal="center" vertical="center"/>
    </xf>
    <xf numFmtId="168" fontId="39" fillId="21" borderId="38" xfId="0" applyNumberFormat="1" applyFont="1" applyFill="1" applyBorder="1" applyAlignment="1">
      <alignment horizontal="center" vertical="center"/>
    </xf>
    <xf numFmtId="168" fontId="39" fillId="21" borderId="42" xfId="0" applyNumberFormat="1" applyFont="1" applyFill="1" applyBorder="1" applyAlignment="1">
      <alignment horizontal="center" vertical="center"/>
    </xf>
    <xf numFmtId="0" fontId="38" fillId="21" borderId="30" xfId="0" applyFont="1" applyFill="1" applyBorder="1" applyAlignment="1">
      <alignment horizontal="center" vertical="center"/>
    </xf>
    <xf numFmtId="0" fontId="18" fillId="21" borderId="0" xfId="0" applyFont="1" applyFill="1" applyAlignment="1">
      <alignment horizontal="center" wrapText="1"/>
    </xf>
    <xf numFmtId="0" fontId="40" fillId="21" borderId="35" xfId="0" applyFont="1" applyFill="1" applyBorder="1" applyAlignment="1">
      <alignment horizontal="center" wrapText="1"/>
    </xf>
    <xf numFmtId="0" fontId="40" fillId="21" borderId="0" xfId="0" applyFont="1" applyFill="1" applyAlignment="1">
      <alignment horizontal="center" wrapText="1"/>
    </xf>
    <xf numFmtId="0" fontId="18" fillId="21" borderId="34" xfId="0" applyFont="1" applyFill="1" applyBorder="1">
      <alignment wrapText="1"/>
    </xf>
    <xf numFmtId="14" fontId="36" fillId="21" borderId="33" xfId="0" applyNumberFormat="1" applyFont="1" applyFill="1" applyBorder="1" applyAlignment="1">
      <alignment horizontal="left" shrinkToFit="1"/>
    </xf>
    <xf numFmtId="0" fontId="39" fillId="21" borderId="36" xfId="0" applyFont="1" applyFill="1" applyBorder="1" applyAlignment="1">
      <alignment horizontal="center" vertical="center" wrapText="1"/>
    </xf>
    <xf numFmtId="165" fontId="38" fillId="21" borderId="23" xfId="48" applyFont="1" applyFill="1" applyBorder="1" applyAlignment="1">
      <alignment horizontal="center" vertical="center"/>
    </xf>
    <xf numFmtId="165" fontId="38" fillId="21" borderId="44" xfId="48" applyFont="1" applyFill="1" applyBorder="1" applyAlignment="1">
      <alignment horizontal="center" vertical="center"/>
    </xf>
    <xf numFmtId="165" fontId="38" fillId="21" borderId="9" xfId="48" applyFont="1" applyFill="1" applyBorder="1" applyAlignment="1">
      <alignment horizontal="center" vertical="center"/>
    </xf>
    <xf numFmtId="165" fontId="38" fillId="21" borderId="43" xfId="48" applyFont="1" applyFill="1" applyBorder="1" applyAlignment="1">
      <alignment horizontal="center" vertical="center"/>
    </xf>
    <xf numFmtId="0" fontId="36" fillId="21" borderId="37" xfId="0" applyFont="1" applyFill="1" applyBorder="1" applyAlignment="1">
      <alignment vertical="center"/>
    </xf>
    <xf numFmtId="0" fontId="39" fillId="21" borderId="18" xfId="0" applyFont="1" applyFill="1" applyBorder="1" applyAlignment="1">
      <alignment horizontal="center" vertical="center" wrapText="1"/>
    </xf>
    <xf numFmtId="165" fontId="39" fillId="21" borderId="19" xfId="28" applyFont="1" applyFill="1" applyBorder="1" applyAlignment="1">
      <alignment horizontal="center" vertical="center" shrinkToFit="1"/>
    </xf>
    <xf numFmtId="165" fontId="39" fillId="21" borderId="0" xfId="28" applyFont="1" applyFill="1" applyBorder="1" applyAlignment="1">
      <alignment horizontal="center" vertical="center" shrinkToFit="1"/>
    </xf>
    <xf numFmtId="14" fontId="36" fillId="21" borderId="33" xfId="0" applyNumberFormat="1" applyFont="1" applyFill="1" applyBorder="1" applyAlignment="1">
      <alignment horizontal="left" vertical="center" shrinkToFit="1"/>
    </xf>
    <xf numFmtId="0" fontId="36" fillId="21" borderId="0" xfId="0" applyFont="1" applyFill="1">
      <alignment wrapText="1"/>
    </xf>
    <xf numFmtId="0" fontId="39" fillId="21" borderId="0" xfId="0" applyFont="1" applyFill="1">
      <alignment wrapText="1"/>
    </xf>
    <xf numFmtId="0" fontId="39" fillId="21" borderId="0" xfId="0" applyFont="1" applyFill="1" applyAlignment="1">
      <alignment horizontal="center" wrapText="1"/>
    </xf>
    <xf numFmtId="0" fontId="32" fillId="0" borderId="0" xfId="0" applyFont="1" applyAlignment="1">
      <alignment horizontal="center" vertical="center" wrapText="1"/>
    </xf>
    <xf numFmtId="167" fontId="38" fillId="0" borderId="0" xfId="0" applyNumberFormat="1" applyFont="1" applyAlignment="1">
      <alignment horizontal="center" vertical="center"/>
    </xf>
    <xf numFmtId="166" fontId="39" fillId="0" borderId="0" xfId="0" applyNumberFormat="1" applyFont="1" applyAlignment="1">
      <alignment horizontal="center" vertical="center"/>
    </xf>
    <xf numFmtId="0" fontId="39" fillId="0" borderId="0" xfId="0" applyFont="1" applyAlignment="1">
      <alignment horizontal="center" vertical="center"/>
    </xf>
    <xf numFmtId="0" fontId="31" fillId="21" borderId="0" xfId="35" applyFont="1" applyFill="1" applyAlignment="1"/>
    <xf numFmtId="0" fontId="31" fillId="21" borderId="0" xfId="35" applyFont="1" applyFill="1" applyAlignment="1">
      <alignment horizontal="left"/>
    </xf>
    <xf numFmtId="0" fontId="36" fillId="21" borderId="9" xfId="0" applyFont="1" applyFill="1" applyBorder="1" applyAlignment="1">
      <alignment horizontal="left" indent="1"/>
    </xf>
    <xf numFmtId="14" fontId="36" fillId="21" borderId="24" xfId="0" applyNumberFormat="1" applyFont="1" applyFill="1" applyBorder="1" applyAlignment="1">
      <alignment horizontal="left" indent="1"/>
    </xf>
    <xf numFmtId="0" fontId="38" fillId="21" borderId="15" xfId="0" applyFont="1" applyFill="1" applyBorder="1" applyAlignment="1">
      <alignment horizontal="left" vertical="center" indent="1"/>
    </xf>
    <xf numFmtId="0" fontId="38" fillId="21" borderId="16" xfId="0" applyFont="1" applyFill="1" applyBorder="1" applyAlignment="1">
      <alignment horizontal="left" vertical="center" indent="1"/>
    </xf>
    <xf numFmtId="0" fontId="29" fillId="20" borderId="15" xfId="32" applyFont="1" applyFill="1" applyBorder="1" applyAlignment="1">
      <alignment horizontal="center" vertical="center"/>
    </xf>
    <xf numFmtId="0" fontId="29" fillId="20" borderId="16" xfId="32" applyFont="1" applyFill="1" applyBorder="1" applyAlignment="1">
      <alignment horizontal="center" vertical="center"/>
    </xf>
    <xf numFmtId="0" fontId="29" fillId="20" borderId="17" xfId="32" applyFont="1" applyFill="1" applyBorder="1" applyAlignment="1">
      <alignment horizontal="center" vertical="center"/>
    </xf>
    <xf numFmtId="0" fontId="35" fillId="21" borderId="0" xfId="34" applyFont="1" applyFill="1" applyAlignment="1">
      <alignment horizontal="left" wrapText="1" indent="1"/>
    </xf>
    <xf numFmtId="0" fontId="36" fillId="21" borderId="8" xfId="34" applyFont="1" applyFill="1" applyBorder="1" applyAlignment="1">
      <alignment horizontal="left" wrapText="1" indent="1"/>
    </xf>
    <xf numFmtId="165" fontId="38" fillId="21" borderId="16" xfId="29" applyNumberFormat="1" applyFont="1" applyFill="1" applyBorder="1" applyAlignment="1">
      <alignment horizontal="left" vertical="center"/>
    </xf>
    <xf numFmtId="165" fontId="38" fillId="21" borderId="17" xfId="29" applyNumberFormat="1" applyFont="1" applyFill="1" applyBorder="1" applyAlignment="1">
      <alignment horizontal="left" vertical="center"/>
    </xf>
    <xf numFmtId="0" fontId="36" fillId="21" borderId="33" xfId="0" applyFont="1" applyFill="1" applyBorder="1" applyAlignment="1">
      <alignment horizontal="left" vertical="center"/>
    </xf>
    <xf numFmtId="0" fontId="36" fillId="21" borderId="0" xfId="0" applyFont="1" applyFill="1" applyAlignment="1">
      <alignment horizontal="left" vertical="center"/>
    </xf>
    <xf numFmtId="0" fontId="36" fillId="21" borderId="33" xfId="0" applyFont="1" applyFill="1" applyBorder="1" applyAlignment="1">
      <alignment horizontal="left"/>
    </xf>
    <xf numFmtId="0" fontId="36" fillId="21" borderId="37" xfId="0" applyFont="1" applyFill="1" applyBorder="1" applyAlignment="1">
      <alignment horizontal="left" vertical="center"/>
    </xf>
    <xf numFmtId="169" fontId="35" fillId="21" borderId="0" xfId="45" applyFont="1" applyFill="1" applyAlignment="1">
      <alignment horizontal="left" vertical="top" indent="1"/>
    </xf>
    <xf numFmtId="0" fontId="36" fillId="21" borderId="24" xfId="0" applyFont="1" applyFill="1" applyBorder="1" applyAlignment="1">
      <alignment horizontal="left" wrapText="1" indent="1"/>
    </xf>
    <xf numFmtId="0" fontId="36" fillId="21" borderId="9" xfId="0" applyFont="1" applyFill="1" applyBorder="1" applyAlignment="1">
      <alignment horizontal="left" vertical="top" indent="1"/>
    </xf>
    <xf numFmtId="0" fontId="30" fillId="21" borderId="15" xfId="33" applyFont="1" applyFill="1" applyBorder="1" applyAlignment="1">
      <alignment horizontal="center" vertical="center"/>
    </xf>
    <xf numFmtId="0" fontId="30" fillId="21" borderId="16" xfId="33" applyFont="1" applyFill="1" applyBorder="1" applyAlignment="1">
      <alignment horizontal="center" vertical="center"/>
    </xf>
    <xf numFmtId="0" fontId="30" fillId="21" borderId="17" xfId="33" applyFont="1" applyFill="1" applyBorder="1" applyAlignment="1">
      <alignment horizontal="center" vertical="center"/>
    </xf>
  </cellXfs>
  <cellStyles count="49">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0]" xfId="48" builtinId="6" customBuiltin="1"/>
    <cellStyle name="Currency" xfId="29" builtinId="4"/>
    <cellStyle name="Date" xfId="46" xr:uid="{9D8879A2-0317-4883-B7B9-F97568DDD25B}"/>
    <cellStyle name="Explanatory Text" xfId="30" builtinId="53" customBuiltin="1"/>
    <cellStyle name="Good" xfId="31" builtinId="26" customBuiltin="1"/>
    <cellStyle name="Heading 1" xfId="32" builtinId="16" customBuiltin="1"/>
    <cellStyle name="Heading 2" xfId="33" builtinId="17" customBuiltin="1"/>
    <cellStyle name="Heading 3" xfId="34" builtinId="18" customBuiltin="1"/>
    <cellStyle name="Heading 4" xfId="35" builtinId="19" customBuiltin="1"/>
    <cellStyle name="Hyperlink" xfId="36" builtinId="8"/>
    <cellStyle name="Input" xfId="37" builtinId="20" customBuiltin="1"/>
    <cellStyle name="Linked Cell" xfId="38" builtinId="24" customBuiltin="1"/>
    <cellStyle name="Neutral" xfId="39" builtinId="28" customBuiltin="1"/>
    <cellStyle name="Normal" xfId="0" builtinId="0" customBuiltin="1"/>
    <cellStyle name="Note" xfId="40" builtinId="10" customBuiltin="1"/>
    <cellStyle name="Output" xfId="41" builtinId="21" customBuiltin="1"/>
    <cellStyle name="Phone" xfId="45" xr:uid="{7BCD6FF3-7C07-4891-8D9B-F5450944207C}"/>
    <cellStyle name="Title" xfId="42" builtinId="15" customBuiltin="1"/>
    <cellStyle name="Total" xfId="43" builtinId="25" customBuiltin="1"/>
    <cellStyle name="Warning Text" xfId="44" builtinId="11" customBuiltin="1"/>
    <cellStyle name="zHidden text" xfId="47" xr:uid="{E152A50A-8D88-477F-B79E-28185ECAFD82}"/>
  </cellStyles>
  <dxfs count="47">
    <dxf>
      <font>
        <b val="0"/>
        <i val="0"/>
        <strike val="0"/>
        <condense val="0"/>
        <extend val="0"/>
        <outline val="0"/>
        <shadow val="0"/>
        <u val="none"/>
        <vertAlign val="baseline"/>
        <sz val="8"/>
        <color theme="5"/>
        <name val="Arial"/>
        <family val="2"/>
        <scheme val="minor"/>
      </font>
      <fill>
        <patternFill patternType="none">
          <fgColor indexed="64"/>
          <bgColor auto="1"/>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indexed="9"/>
        <name val="Arial"/>
        <family val="2"/>
        <scheme val="major"/>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166" formatCode="[$-409]h:mm\ AM/P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0" formatCode="General"/>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6" formatCode="[$-409]h:mm\ AM/P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i val="0"/>
        <strike val="0"/>
        <condense val="0"/>
        <extend val="0"/>
        <outline val="0"/>
        <shadow val="0"/>
        <u val="none"/>
        <vertAlign val="baseline"/>
        <sz val="8"/>
        <color theme="5"/>
        <name val="Arial"/>
        <family val="2"/>
        <scheme val="minor"/>
      </font>
      <numFmt numFmtId="167" formatCode="ddd\ m/d"/>
      <fill>
        <patternFill patternType="solid">
          <fgColor indexed="64"/>
          <bgColor theme="4"/>
        </patternFill>
      </fill>
      <alignment horizontal="center" vertical="center" textRotation="0" wrapText="0" indent="0" justifyLastLine="0" shrinkToFit="0" readingOrder="0"/>
      <border diagonalUp="0" diagonalDown="0" outline="0">
        <left/>
        <right style="double">
          <color rgb="FF002CB8"/>
        </right>
        <top style="hair">
          <color theme="0" tint="-0.24994659260841701"/>
        </top>
        <bottom style="hair">
          <color theme="0" tint="-0.24994659260841701"/>
        </bottom>
      </border>
      <protection locked="1" hidden="0"/>
    </dxf>
    <dxf>
      <border diagonalUp="0" diagonalDown="0">
        <left style="thick">
          <color theme="5"/>
        </left>
        <right style="thick">
          <color theme="5"/>
        </right>
        <top style="thick">
          <color theme="5"/>
        </top>
        <bottom style="thick">
          <color theme="5"/>
        </bottom>
      </border>
    </dxf>
    <dxf>
      <font>
        <b val="0"/>
        <i val="0"/>
        <strike val="0"/>
        <condense val="0"/>
        <extend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indexed="9"/>
        <name val="Arial"/>
        <family val="2"/>
        <scheme val="major"/>
      </font>
      <fill>
        <patternFill patternType="solid">
          <fgColor indexed="64"/>
          <bgColor theme="5"/>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style="double">
          <color rgb="FF002CB8"/>
        </right>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indexed="9"/>
        <name val="Arial"/>
        <family val="2"/>
        <scheme val="major"/>
      </font>
      <fill>
        <patternFill patternType="solid">
          <fgColor indexed="64"/>
          <bgColor theme="5"/>
        </patternFill>
      </fill>
      <alignment horizontal="center" vertical="center" textRotation="0" wrapText="1" indent="0" justifyLastLine="0" shrinkToFit="0" readingOrder="0"/>
      <protection locked="1" hidden="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1" indent="0" justifyLastLine="0" shrinkToFit="0" readingOrder="0"/>
      <border diagonalUp="0" diagonalDown="0" outline="0">
        <left/>
        <right style="double">
          <color rgb="FF002CB8"/>
        </right>
      </border>
    </dxf>
    <dxf>
      <border diagonalUp="0" diagonalDown="0">
        <left style="thick">
          <color rgb="FF002CB8"/>
        </left>
        <right style="thick">
          <color rgb="FF002CB8"/>
        </right>
        <top style="thick">
          <color rgb="FF002CB8"/>
        </top>
        <bottom style="thick">
          <color rgb="FF002CB8"/>
        </bottom>
      </border>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indent="0" justifyLastLine="0" readingOrder="0"/>
    </dxf>
    <dxf>
      <font>
        <strike val="0"/>
        <outline val="0"/>
        <shadow val="0"/>
        <u val="none"/>
        <vertAlign val="baseline"/>
        <sz val="8"/>
        <name val="Arial"/>
        <family val="2"/>
        <scheme val="major"/>
      </font>
      <fill>
        <patternFill patternType="solid">
          <fgColor indexed="64"/>
          <bgColor theme="5"/>
        </patternFill>
      </fill>
      <alignment horizontal="center" textRotation="0" indent="0" justifyLastLine="0" readingOrder="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style="double">
          <color rgb="FF002CB8"/>
        </right>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indexed="9"/>
        <name val="Arial"/>
        <family val="2"/>
        <scheme val="major"/>
      </font>
      <fill>
        <patternFill patternType="solid">
          <fgColor indexed="64"/>
          <bgColor theme="5"/>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166" formatCode="[$-409]h:mm\ AM/PM;@"/>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166" formatCode="[$-409]h:mm\ AM/PM;@"/>
      <fill>
        <patternFill patternType="none">
          <fgColor indexed="64"/>
          <bgColor auto="1"/>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theme="5"/>
        <name val="Arial"/>
        <family val="2"/>
        <scheme val="minor"/>
      </font>
      <numFmt numFmtId="167" formatCode="ddd\ m/d"/>
      <fill>
        <patternFill patternType="none">
          <fgColor indexed="64"/>
          <bgColor auto="1"/>
        </patternFill>
      </fill>
      <alignment horizontal="center" vertical="center" textRotation="0" wrapText="0" indent="0" justifyLastLine="0" shrinkToFit="0" readingOrder="0"/>
      <protection locked="1" hidden="0"/>
    </dxf>
    <dxf>
      <font>
        <b/>
        <color theme="1"/>
      </font>
      <fill>
        <patternFill>
          <bgColor theme="4"/>
        </patternFill>
      </fill>
      <border>
        <left style="thick">
          <color theme="5"/>
        </left>
        <right style="double">
          <color theme="5"/>
        </right>
        <top style="thick">
          <color theme="5"/>
        </top>
        <bottom style="thick">
          <color theme="5"/>
        </bottom>
        <vertical/>
        <horizontal style="thin">
          <color theme="5"/>
        </horizontal>
      </border>
    </dxf>
    <dxf>
      <font>
        <b/>
        <i val="0"/>
        <color theme="0"/>
      </font>
      <fill>
        <patternFill patternType="solid">
          <fgColor theme="5"/>
          <bgColor theme="5"/>
        </patternFill>
      </fill>
      <border>
        <left style="thick">
          <color theme="5"/>
        </left>
        <right style="thick">
          <color theme="5"/>
        </right>
        <top style="thick">
          <color theme="5"/>
        </top>
        <bottom style="thick">
          <color theme="5"/>
        </bottom>
        <vertical/>
        <horizontal/>
      </border>
    </dxf>
    <dxf>
      <font>
        <color theme="5"/>
      </font>
      <fill>
        <patternFill>
          <bgColor theme="4"/>
        </patternFill>
      </fill>
      <border>
        <left style="thick">
          <color theme="5"/>
        </left>
        <right style="thick">
          <color theme="5"/>
        </right>
        <top style="thick">
          <color theme="5"/>
        </top>
        <bottom style="thick">
          <color theme="5"/>
        </bottom>
        <vertical/>
        <horizontal style="thin">
          <color theme="5"/>
        </horizontal>
      </border>
    </dxf>
    <dxf>
      <fill>
        <patternFill patternType="none">
          <bgColor auto="1"/>
        </patternFill>
      </fill>
      <border diagonalUp="0" diagonalDown="0">
        <left/>
        <right/>
        <top/>
        <bottom/>
        <vertical/>
        <horizontal/>
      </border>
    </dxf>
    <dxf>
      <fill>
        <patternFill>
          <bgColor theme="0" tint="-4.9989318521683403E-2"/>
        </patternFill>
      </fill>
    </dxf>
    <dxf>
      <border>
        <left style="hair">
          <color theme="0" tint="-0.24994659260841701"/>
        </left>
        <right style="hair">
          <color theme="0" tint="-0.24994659260841701"/>
        </right>
        <top style="hair">
          <color theme="0" tint="-0.24994659260841701"/>
        </top>
        <vertical style="hair">
          <color theme="0" tint="-0.24994659260841701"/>
        </vertical>
        <horizontal style="hair">
          <color theme="0" tint="-0.24994659260841701"/>
        </horizontal>
      </border>
    </dxf>
    <dxf>
      <font>
        <b/>
        <i val="0"/>
        <color auto="1"/>
      </font>
      <fill>
        <patternFill patternType="none">
          <bgColor auto="1"/>
        </patternFill>
      </fill>
      <border diagonalUp="0" diagonalDown="0">
        <left/>
        <right style="hair">
          <color theme="0" tint="-0.24994659260841701"/>
        </right>
        <top/>
        <bottom/>
        <vertical/>
        <horizontal/>
      </border>
    </dxf>
    <dxf>
      <font>
        <b/>
        <color theme="0"/>
      </font>
      <fill>
        <patternFill patternType="solid">
          <fgColor theme="4"/>
          <bgColor theme="4" tint="-0.24994659260841701"/>
        </patternFill>
      </fill>
    </dxf>
    <dxf>
      <font>
        <b val="0"/>
        <i val="0"/>
        <color theme="1"/>
      </font>
    </dxf>
  </dxfs>
  <tableStyles count="2" defaultTableStyle="TimeSheet table style" defaultPivotStyle="PivotStyleLight16">
    <tableStyle name="Rate per Hour2" pivot="0" count="6" xr9:uid="{775FB551-6B12-47E9-AC9D-AE48407CC9B9}">
      <tableStyleElement type="wholeTable" dxfId="46"/>
      <tableStyleElement type="headerRow" dxfId="45"/>
      <tableStyleElement type="firstColumn" dxfId="44"/>
      <tableStyleElement type="firstRowStripe" dxfId="43"/>
      <tableStyleElement type="secondRowStripe" dxfId="42"/>
      <tableStyleElement type="firstHeaderCell" dxfId="41"/>
    </tableStyle>
    <tableStyle name="TimeSheet table style" pivot="0" count="3" xr9:uid="{6041E482-EED6-49B7-BDAA-ED501CDEE87A}">
      <tableStyleElement type="wholeTable" dxfId="40"/>
      <tableStyleElement type="headerRow" dxfId="39"/>
      <tableStyleElement type="firstColumn" dxfId="3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99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E9E4"/>
      <rgbColor rgb="00E4EFF3"/>
      <rgbColor rgb="001849B5"/>
      <rgbColor rgb="0036ACA2"/>
      <rgbColor rgb="00F0BA00"/>
      <rgbColor rgb="00BCD5E1"/>
      <rgbColor rgb="0083B3C9"/>
      <rgbColor rgb="00346378"/>
      <rgbColor rgb="0087533B"/>
      <rgbColor rgb="00C0C0C0"/>
      <rgbColor rgb="00003366"/>
      <rgbColor rgb="00109618"/>
      <rgbColor rgb="00085108"/>
      <rgbColor rgb="00635100"/>
      <rgbColor rgb="0023414F"/>
      <rgbColor rgb="00E1C8BC"/>
      <rgbColor rgb="00593727"/>
      <rgbColor rgb="00333333"/>
    </indexedColors>
    <mruColors>
      <color rgb="FFFDDFDF"/>
      <color rgb="FF002CB8"/>
      <color rgb="FFFFF7F7"/>
      <color rgb="FF08199A"/>
      <color rgb="FFFEE8E8"/>
      <color rgb="FFFDD5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5539C7-6614-4324-B8A3-2FCC3BF1A317}" name="Week1Time" displayName="Week1Time" ref="B9:E16" totalsRowShown="0" headerRowDxfId="1" dataDxfId="0">
  <autoFilter ref="B9:E16" xr:uid="{E10A4982-6DC5-4879-AEB0-7CD24C647365}">
    <filterColumn colId="0" hiddenButton="1"/>
    <filterColumn colId="1" hiddenButton="1"/>
    <filterColumn colId="2" hiddenButton="1"/>
    <filterColumn colId="3" hiddenButton="1"/>
  </autoFilter>
  <tableColumns count="4">
    <tableColumn id="1" xr3:uid="{190B07CD-9F05-463A-BC91-7CBD9D46B2DC}" name="Day of week" dataDxfId="37">
      <calculatedColumnFormula>B9+1</calculatedColumnFormula>
    </tableColumn>
    <tableColumn id="2" xr3:uid="{246B2CC2-2B22-4BC0-A2EC-BECFF2982E0C}" name="Time in" dataDxfId="36"/>
    <tableColumn id="3" xr3:uid="{6F65ADD7-35CE-4B83-AE46-13F67FC9F37B}" name="Breaks_x000a_(minutes)" dataDxfId="35"/>
    <tableColumn id="4" xr3:uid="{751BE875-F656-4BE3-A513-3CE9F2CDBAE5}" name="Time out" dataDxfId="34"/>
  </tableColumns>
  <tableStyleInfo name="TimeSheet table style" showFirstColumn="1" showLastColumn="0" showRowStripes="1" showColumnStripes="0"/>
  <extLst>
    <ext xmlns:x14="http://schemas.microsoft.com/office/spreadsheetml/2009/9/main" uri="{504A1905-F514-4f6f-8877-14C23A59335A}">
      <x14:table altTextSummary="Track your time for each day of the week in this table. Column &quot;Day of Week&quot; uses the week starting day entered in cell H4 as the first day of the week."/>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22816F0-543F-433C-994E-34511C77A530}" name="Week1Breakdown" displayName="Week1Breakdown" ref="G9:L16" totalsRowShown="0" headerRowDxfId="33" dataDxfId="32">
  <autoFilter ref="G9:L16" xr:uid="{C7946D40-1373-4344-834A-34D082D7662E}">
    <filterColumn colId="0" hiddenButton="1"/>
    <filterColumn colId="1" hiddenButton="1"/>
    <filterColumn colId="2" hiddenButton="1"/>
    <filterColumn colId="3" hiddenButton="1"/>
    <filterColumn colId="4" hiddenButton="1"/>
    <filterColumn colId="5" hiddenButton="1"/>
  </autoFilter>
  <tableColumns count="6">
    <tableColumn id="1" xr3:uid="{6614CBB3-4212-476B-A68B-BDCD0C62C21C}" name="Total_x000a_[h]:mm" dataDxfId="31">
      <calculatedColumnFormula>MROUND((IF(OR(C10="",E10=""),0,IF(E10&lt;C10,E10+1-C10,E10-C10))-D10/1440),1/1440)</calculatedColumnFormula>
    </tableColumn>
    <tableColumn id="2" xr3:uid="{59BFD623-32D7-41A7-876C-DC30F237A3C1}" name="Regular_x000a_[h]:mm" dataDxfId="30"/>
    <tableColumn id="3" xr3:uid="{BC5185F3-BC05-4AF9-83F5-457177271D1C}" name="Overtime_x000a_[h]:mm" dataDxfId="29"/>
    <tableColumn id="4" xr3:uid="{BA9FADD4-9CD7-490B-A73D-26DFE1594B4A}" name="Sick_x000a_[h]:mm" dataDxfId="28"/>
    <tableColumn id="5" xr3:uid="{262E2356-E5D2-41AD-8919-B71988181056}" name="Holiday_x000a_[h]:mm" dataDxfId="27"/>
    <tableColumn id="6" xr3:uid="{FD71D99B-5969-4D1B-B038-07613CF9228E}" name="Vacation_x000a_[h]:mm" dataDxfId="26"/>
  </tableColumns>
  <tableStyleInfo name="TimeSheet table style" showFirstColumn="1" showLastColumn="0" showRowStripes="1" showColumnStripes="0"/>
  <extLst>
    <ext xmlns:x14="http://schemas.microsoft.com/office/spreadsheetml/2009/9/main" uri="{504A1905-F514-4f6f-8877-14C23A59335A}">
      <x14:table altTextSummary="Break your time out into Regular, Overtime, Sick, Holiday, and Vacation hours in this table. Column G of this table auto calculates the total time for each day of the week. The total for the week is auto calculated for each category immediately below the table."/>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5ADD69-B923-4124-BA0F-F0A87BFFAB8C}" name="RatePerHr" displayName="RatePerHr" ref="G29:L31" totalsRowShown="0" headerRowDxfId="25" dataDxfId="24" tableBorderDxfId="23">
  <autoFilter ref="G29:L31" xr:uid="{706249EA-B432-41B9-A04B-7D8A3AFA0A60}">
    <filterColumn colId="0" hiddenButton="1"/>
    <filterColumn colId="1" hiddenButton="1"/>
    <filterColumn colId="2" hiddenButton="1"/>
    <filterColumn colId="3" hiddenButton="1"/>
    <filterColumn colId="4" hiddenButton="1"/>
    <filterColumn colId="5" hiddenButton="1"/>
  </autoFilter>
  <tableColumns count="6">
    <tableColumn id="1" xr3:uid="{BD59BE1B-C83E-42A4-96F2-465DEFAB470E}" name=" " dataDxfId="22" dataCellStyle="Normal"/>
    <tableColumn id="2" xr3:uid="{069F8AEE-8755-45F7-8979-AE6E8F82BA6E}" name="Regular" dataDxfId="21">
      <calculatedColumnFormula>ROUND((H26+H16)*24*H29,2)</calculatedColumnFormula>
    </tableColumn>
    <tableColumn id="3" xr3:uid="{226B57E1-FB02-4033-A5BE-9DA8E24BB60D}" name="Overtime" dataDxfId="20">
      <calculatedColumnFormula>ROUND((I26+I16)*24*I29,2)</calculatedColumnFormula>
    </tableColumn>
    <tableColumn id="4" xr3:uid="{6EE04012-C2D5-4A70-8F77-F47EFBB2A20E}" name="Sick" dataDxfId="19">
      <calculatedColumnFormula>ROUND((J26+J16)*24*J29,2)</calculatedColumnFormula>
    </tableColumn>
    <tableColumn id="5" xr3:uid="{919C7435-5B52-4BF0-A776-D8CBE5F5967A}" name="Holiday" dataDxfId="18">
      <calculatedColumnFormula>ROUND((K26+K16)*24*K29,2)</calculatedColumnFormula>
    </tableColumn>
    <tableColumn id="6" xr3:uid="{35FA5A78-FAF8-4870-A653-E29A9BB3A0AA}" name="Vacation" dataDxfId="17">
      <calculatedColumnFormula>ROUND((L26+L16)*24*L29,2)</calculatedColumnFormula>
    </tableColumn>
  </tableColumns>
  <tableStyleInfo name="TimeSheet table style" showFirstColumn="1" showLastColumn="0" showRowStripes="1" showColumnStripes="0"/>
  <extLst>
    <ext xmlns:x14="http://schemas.microsoft.com/office/spreadsheetml/2009/9/main" uri="{504A1905-F514-4f6f-8877-14C23A59335A}">
      <x14:table altTextSummary="Enter the rate per hour in this table for Regular, Overtime, Sick, Holiday, and Vacation hours. Total pay is auto calculated."/>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0AD4DFC-2CD1-4792-B7D3-DF944748F7F4}" name="Week2Breakdown" displayName="Week2Breakdown" ref="G19:L26" totalsRowShown="0" headerRowDxfId="16" dataDxfId="15">
  <autoFilter ref="G19:L26" xr:uid="{A44E8DD1-E48F-486F-8ACA-EBA1479FCFE1}">
    <filterColumn colId="0" hiddenButton="1"/>
    <filterColumn colId="1" hiddenButton="1"/>
    <filterColumn colId="2" hiddenButton="1"/>
    <filterColumn colId="3" hiddenButton="1"/>
    <filterColumn colId="4" hiddenButton="1"/>
    <filterColumn colId="5" hiddenButton="1"/>
  </autoFilter>
  <tableColumns count="6">
    <tableColumn id="1" xr3:uid="{1988A15C-4BA8-4142-86FB-A6C0EE7DB363}" name="Total_x000a_[h]:mm" dataDxfId="14">
      <calculatedColumnFormula>MROUND((IF(OR(C20="",E20=""),0,IF(E20&lt;C20,E20+1-C20,E20-C20))-D20/1440),1/1440)</calculatedColumnFormula>
    </tableColumn>
    <tableColumn id="2" xr3:uid="{D83BC574-D19E-4A38-B74A-DBB7077A3F47}" name="Regular_x000a_[h]:mm" dataDxfId="13"/>
    <tableColumn id="3" xr3:uid="{BB4E3C4E-F96F-4A73-AE63-30F72E93F87C}" name="Overtime_x000a_[h]:mm" dataDxfId="12"/>
    <tableColumn id="4" xr3:uid="{D0989223-D47C-4886-A250-E68512C37A87}" name="Sick_x000a_[h]:mm" dataDxfId="11"/>
    <tableColumn id="5" xr3:uid="{08B2B68A-21F4-4897-89DF-8226A098DD8A}" name="Holiday_x000a_[h]:mm" dataDxfId="10"/>
    <tableColumn id="6" xr3:uid="{D2CDB383-0ABA-4980-A10D-E413B7B160E5}" name="Vacation_x000a_[h]:mm" dataDxfId="9"/>
  </tableColumns>
  <tableStyleInfo name="TimeSheet table style" showFirstColumn="1" showLastColumn="0" showRowStripes="0" showColumnStripes="0"/>
  <extLst>
    <ext xmlns:x14="http://schemas.microsoft.com/office/spreadsheetml/2009/9/main" uri="{504A1905-F514-4f6f-8877-14C23A59335A}">
      <x14:table altTextSummary="Break your time out into Regular, Overtime, Sick, Holiday, and Vacation hours in this table for the second week of time tracking. Column G of this table auto calculates the total time for each day of the week. The total for the week is auto calculated for each category immediately below the table."/>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2E9F439-BCBA-433C-B159-4BAFDA05F0EF}" name="Week2Time" displayName="Week2Time" ref="B19:E26" totalsRowShown="0" headerRowDxfId="8" dataDxfId="7" tableBorderDxfId="6">
  <autoFilter ref="B19:E26" xr:uid="{042AB274-B97B-41F5-8F67-3A0C22AE718C}">
    <filterColumn colId="0" hiddenButton="1"/>
    <filterColumn colId="1" hiddenButton="1"/>
    <filterColumn colId="2" hiddenButton="1"/>
    <filterColumn colId="3" hiddenButton="1"/>
  </autoFilter>
  <tableColumns count="4">
    <tableColumn id="1" xr3:uid="{3D04EA17-D67B-4FF5-AE8F-3C4501211381}" name="Day of week" dataDxfId="5">
      <calculatedColumnFormula>B19+1</calculatedColumnFormula>
    </tableColumn>
    <tableColumn id="2" xr3:uid="{BCC6F48D-C6D2-4D1C-9C72-68418FF1D1D1}" name="Time in" dataDxfId="4"/>
    <tableColumn id="3" xr3:uid="{2AB5FEA2-436C-4712-BC1F-76D8785BC4CB}" name="Breaks_x000a_(minutes)" dataDxfId="3"/>
    <tableColumn id="4" xr3:uid="{7902BB71-D1CD-4EC4-BED2-0A23C5CE00F2}" name="Time out" dataDxfId="2"/>
  </tableColumns>
  <tableStyleInfo name="TimeSheet table style" showFirstColumn="1" showLastColumn="0" showRowStripes="1" showColumnStripes="0"/>
  <extLst>
    <ext xmlns:x14="http://schemas.microsoft.com/office/spreadsheetml/2009/9/main" uri="{504A1905-F514-4f6f-8877-14C23A59335A}">
      <x14:table altTextSummary="Track your time for each day of a second week in this table. The starting day of the week picks of after the last day of the previous week logged in Week 1 Time table."/>
    </ext>
  </extLst>
</table>
</file>

<file path=xl/theme/theme1.xml><?xml version="1.0" encoding="utf-8"?>
<a:theme xmlns:a="http://schemas.openxmlformats.org/drawingml/2006/main" name="Office Theme">
  <a:themeElements>
    <a:clrScheme name="Custom 47">
      <a:dk1>
        <a:sysClr val="windowText" lastClr="000000"/>
      </a:dk1>
      <a:lt1>
        <a:sysClr val="window" lastClr="FFFFFF"/>
      </a:lt1>
      <a:dk2>
        <a:srgbClr val="44546A"/>
      </a:dk2>
      <a:lt2>
        <a:srgbClr val="E7E6E6"/>
      </a:lt2>
      <a:accent1>
        <a:srgbClr val="FDDFDF"/>
      </a:accent1>
      <a:accent2>
        <a:srgbClr val="002CB8"/>
      </a:accent2>
      <a:accent3>
        <a:srgbClr val="EE880C"/>
      </a:accent3>
      <a:accent4>
        <a:srgbClr val="FFC000"/>
      </a:accent4>
      <a:accent5>
        <a:srgbClr val="9E17F1"/>
      </a:accent5>
      <a:accent6>
        <a:srgbClr val="70AD47"/>
      </a:accent6>
      <a:hlink>
        <a:srgbClr val="0563C1"/>
      </a:hlink>
      <a:folHlink>
        <a:srgbClr val="954F72"/>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pageSetUpPr fitToPage="1"/>
  </sheetPr>
  <dimension ref="A1:O34"/>
  <sheetViews>
    <sheetView showGridLines="0" tabSelected="1" zoomScale="70" zoomScaleNormal="70" workbookViewId="0">
      <selection activeCell="G2" sqref="G2:L2"/>
    </sheetView>
  </sheetViews>
  <sheetFormatPr defaultColWidth="9.1328125" defaultRowHeight="30" customHeight="1" x14ac:dyDescent="0.35"/>
  <cols>
    <col min="1" max="1" width="5.6640625" style="1" customWidth="1"/>
    <col min="2" max="5" width="12.6640625" style="1" customWidth="1"/>
    <col min="6" max="6" width="5.6640625" style="1" customWidth="1"/>
    <col min="7" max="12" width="12.6640625" style="1" customWidth="1"/>
    <col min="13" max="13" width="5.6640625" style="1" customWidth="1"/>
    <col min="14" max="14" width="9.1328125" style="1" customWidth="1"/>
    <col min="15" max="16384" width="9.1328125" style="1"/>
  </cols>
  <sheetData>
    <row r="1" spans="1:15" ht="35" customHeight="1" thickBot="1" x14ac:dyDescent="0.4">
      <c r="A1" s="5"/>
      <c r="B1" s="5"/>
      <c r="C1" s="5"/>
      <c r="D1" s="5"/>
      <c r="E1" s="5"/>
      <c r="F1" s="5"/>
      <c r="G1" s="5"/>
      <c r="H1" s="5"/>
      <c r="I1" s="5"/>
      <c r="J1" s="5"/>
      <c r="K1" s="5"/>
      <c r="L1" s="5"/>
      <c r="M1" s="5"/>
    </row>
    <row r="2" spans="1:15" ht="75" customHeight="1" thickTop="1" thickBot="1" x14ac:dyDescent="0.4">
      <c r="A2" s="5"/>
      <c r="B2" s="94" t="s">
        <v>0</v>
      </c>
      <c r="C2" s="95"/>
      <c r="D2" s="95"/>
      <c r="E2" s="95"/>
      <c r="F2" s="96"/>
      <c r="G2" s="108" t="s">
        <v>23</v>
      </c>
      <c r="H2" s="109"/>
      <c r="I2" s="109"/>
      <c r="J2" s="109"/>
      <c r="K2" s="109"/>
      <c r="L2" s="110"/>
      <c r="M2" s="5"/>
    </row>
    <row r="3" spans="1:15" ht="15" customHeight="1" thickTop="1" x14ac:dyDescent="0.35">
      <c r="A3" s="5"/>
      <c r="B3" s="12"/>
      <c r="C3" s="12"/>
      <c r="D3" s="12"/>
      <c r="E3" s="12"/>
      <c r="F3" s="6"/>
      <c r="G3" s="6"/>
      <c r="H3" s="6"/>
      <c r="I3" s="6"/>
      <c r="J3" s="6"/>
      <c r="K3" s="6"/>
      <c r="L3" s="6"/>
      <c r="M3" s="5"/>
    </row>
    <row r="4" spans="1:15" s="19" customFormat="1" ht="35" customHeight="1" x14ac:dyDescent="0.4">
      <c r="A4" s="13"/>
      <c r="B4" s="97" t="s">
        <v>19</v>
      </c>
      <c r="C4" s="97"/>
      <c r="D4" s="97"/>
      <c r="E4" s="14"/>
      <c r="F4" s="15"/>
      <c r="G4" s="88" t="s">
        <v>11</v>
      </c>
      <c r="H4" s="88"/>
      <c r="I4" s="90" t="s">
        <v>10</v>
      </c>
      <c r="J4" s="90"/>
      <c r="K4" s="16"/>
      <c r="L4" s="17"/>
      <c r="M4" s="18"/>
      <c r="N4" s="2"/>
      <c r="O4" s="3"/>
    </row>
    <row r="5" spans="1:15" s="19" customFormat="1" ht="35" customHeight="1" x14ac:dyDescent="0.4">
      <c r="A5" s="13"/>
      <c r="B5" s="107" t="s">
        <v>21</v>
      </c>
      <c r="C5" s="107"/>
      <c r="D5" s="107"/>
      <c r="E5" s="14"/>
      <c r="F5" s="20"/>
      <c r="G5" s="89" t="s">
        <v>12</v>
      </c>
      <c r="H5" s="89"/>
      <c r="I5" s="106" t="s">
        <v>18</v>
      </c>
      <c r="J5" s="106"/>
      <c r="K5" s="21"/>
      <c r="L5" s="22"/>
      <c r="M5" s="18"/>
      <c r="N5" s="3"/>
    </row>
    <row r="6" spans="1:15" s="19" customFormat="1" ht="35" customHeight="1" x14ac:dyDescent="0.4">
      <c r="A6" s="13"/>
      <c r="B6" s="98" t="s">
        <v>20</v>
      </c>
      <c r="C6" s="98"/>
      <c r="D6" s="98"/>
      <c r="E6" s="14"/>
      <c r="F6" s="20"/>
      <c r="G6" s="89" t="s">
        <v>13</v>
      </c>
      <c r="H6" s="89"/>
      <c r="I6" s="91">
        <f ca="1">TODAY()</f>
        <v>46184</v>
      </c>
      <c r="J6" s="91"/>
      <c r="K6" s="23"/>
      <c r="L6" s="24"/>
      <c r="M6" s="13"/>
      <c r="N6" s="4"/>
    </row>
    <row r="7" spans="1:15" s="19" customFormat="1" ht="35" customHeight="1" x14ac:dyDescent="0.35">
      <c r="A7" s="13"/>
      <c r="B7" s="105" t="s">
        <v>22</v>
      </c>
      <c r="C7" s="105"/>
      <c r="D7" s="105"/>
      <c r="E7" s="25"/>
      <c r="F7" s="24"/>
      <c r="G7" s="26"/>
      <c r="H7" s="27"/>
      <c r="I7" s="27"/>
      <c r="J7" s="24"/>
      <c r="K7" s="24"/>
      <c r="L7" s="28"/>
      <c r="M7" s="18"/>
    </row>
    <row r="8" spans="1:15" ht="15" customHeight="1" thickBot="1" x14ac:dyDescent="0.4">
      <c r="A8" s="5"/>
      <c r="B8" s="13"/>
      <c r="C8" s="13"/>
      <c r="D8" s="13"/>
      <c r="E8" s="13"/>
      <c r="F8" s="13"/>
      <c r="G8" s="13"/>
      <c r="H8" s="13"/>
      <c r="I8" s="13"/>
      <c r="J8" s="13"/>
      <c r="K8" s="13"/>
      <c r="L8" s="13"/>
      <c r="M8" s="5"/>
    </row>
    <row r="9" spans="1:15" s="19" customFormat="1" ht="35" customHeight="1" thickTop="1" x14ac:dyDescent="0.35">
      <c r="A9" s="13"/>
      <c r="B9" s="84" t="s">
        <v>14</v>
      </c>
      <c r="C9" s="84" t="s">
        <v>31</v>
      </c>
      <c r="D9" s="84" t="s">
        <v>24</v>
      </c>
      <c r="E9" s="84" t="s">
        <v>32</v>
      </c>
      <c r="F9" s="29"/>
      <c r="G9" s="8" t="s">
        <v>25</v>
      </c>
      <c r="H9" s="9" t="s">
        <v>26</v>
      </c>
      <c r="I9" s="9" t="s">
        <v>27</v>
      </c>
      <c r="J9" s="9" t="s">
        <v>28</v>
      </c>
      <c r="K9" s="9" t="s">
        <v>29</v>
      </c>
      <c r="L9" s="10" t="s">
        <v>30</v>
      </c>
      <c r="M9" s="30"/>
    </row>
    <row r="10" spans="1:15" s="19" customFormat="1" ht="35" customHeight="1" x14ac:dyDescent="0.35">
      <c r="A10" s="13"/>
      <c r="B10" s="85">
        <f ca="1">Week_Starting</f>
        <v>46184</v>
      </c>
      <c r="C10" s="86">
        <v>0.37847222222222227</v>
      </c>
      <c r="D10" s="87">
        <v>15</v>
      </c>
      <c r="E10" s="86">
        <v>0.75</v>
      </c>
      <c r="F10" s="35"/>
      <c r="G10" s="36">
        <f>MROUND((IF(OR(C10="",E10=""),0,IF(E10&lt;C10,E10+1-C10,E10-C10))-D10/1440),1/1440)</f>
        <v>0.3611111111111111</v>
      </c>
      <c r="H10" s="37">
        <v>0.33333333333333331</v>
      </c>
      <c r="I10" s="38">
        <v>2.777777777777779E-2</v>
      </c>
      <c r="J10" s="38"/>
      <c r="K10" s="38"/>
      <c r="L10" s="39"/>
      <c r="M10" s="30"/>
      <c r="N10" s="4"/>
    </row>
    <row r="11" spans="1:15" s="19" customFormat="1" ht="35" customHeight="1" x14ac:dyDescent="0.35">
      <c r="A11" s="13"/>
      <c r="B11" s="85">
        <f t="shared" ref="B11:B16" ca="1" si="0">B10+1</f>
        <v>46185</v>
      </c>
      <c r="C11" s="86">
        <v>0.37847222222222227</v>
      </c>
      <c r="D11" s="87">
        <v>30</v>
      </c>
      <c r="E11" s="86">
        <v>0.73958333333333337</v>
      </c>
      <c r="F11" s="35"/>
      <c r="G11" s="36">
        <f t="shared" ref="G11:G16" si="1">MROUND((IF(OR(C11="",E11=""),0,IF(E11&lt;C11,E11+1-C11,E11-C11))-D11/1440),1/1440)</f>
        <v>0.34027777777777779</v>
      </c>
      <c r="H11" s="37">
        <v>0.33333333333333331</v>
      </c>
      <c r="I11" s="38">
        <v>6.9444444444444753E-3</v>
      </c>
      <c r="J11" s="38"/>
      <c r="K11" s="38"/>
      <c r="L11" s="39"/>
      <c r="M11" s="30"/>
      <c r="N11" s="4"/>
    </row>
    <row r="12" spans="1:15" s="19" customFormat="1" ht="35" customHeight="1" x14ac:dyDescent="0.35">
      <c r="A12" s="13"/>
      <c r="B12" s="85">
        <f t="shared" ca="1" si="0"/>
        <v>46186</v>
      </c>
      <c r="C12" s="86">
        <v>0.375</v>
      </c>
      <c r="D12" s="87">
        <v>45</v>
      </c>
      <c r="E12" s="86">
        <v>0.77083333333333337</v>
      </c>
      <c r="F12" s="35"/>
      <c r="G12" s="44">
        <f t="shared" si="1"/>
        <v>0.36458333333333337</v>
      </c>
      <c r="H12" s="45">
        <v>0.33333333333333331</v>
      </c>
      <c r="I12" s="45">
        <v>3.1250000000000056E-2</v>
      </c>
      <c r="J12" s="45"/>
      <c r="K12" s="45"/>
      <c r="L12" s="46"/>
      <c r="M12" s="30"/>
    </row>
    <row r="13" spans="1:15" s="19" customFormat="1" ht="35" customHeight="1" x14ac:dyDescent="0.35">
      <c r="A13" s="13"/>
      <c r="B13" s="85">
        <f t="shared" ca="1" si="0"/>
        <v>46187</v>
      </c>
      <c r="C13" s="86">
        <v>0.375</v>
      </c>
      <c r="D13" s="87">
        <v>45</v>
      </c>
      <c r="E13" s="86">
        <v>0.77083333333333337</v>
      </c>
      <c r="F13" s="35"/>
      <c r="G13" s="44">
        <f t="shared" si="1"/>
        <v>0.36458333333333337</v>
      </c>
      <c r="H13" s="45">
        <v>0.33333333333333331</v>
      </c>
      <c r="I13" s="45">
        <v>3.1250000000000056E-2</v>
      </c>
      <c r="J13" s="45"/>
      <c r="K13" s="45"/>
      <c r="L13" s="46"/>
      <c r="M13" s="30"/>
    </row>
    <row r="14" spans="1:15" s="19" customFormat="1" ht="35" customHeight="1" x14ac:dyDescent="0.35">
      <c r="A14" s="13"/>
      <c r="B14" s="85">
        <f t="shared" ca="1" si="0"/>
        <v>46188</v>
      </c>
      <c r="C14" s="86"/>
      <c r="D14" s="87"/>
      <c r="E14" s="86"/>
      <c r="F14" s="35"/>
      <c r="G14" s="44">
        <f t="shared" si="1"/>
        <v>0</v>
      </c>
      <c r="H14" s="45"/>
      <c r="I14" s="45"/>
      <c r="J14" s="45">
        <v>0.33333333333333331</v>
      </c>
      <c r="K14" s="45"/>
      <c r="L14" s="46"/>
      <c r="M14" s="30"/>
    </row>
    <row r="15" spans="1:15" s="19" customFormat="1" ht="35" customHeight="1" x14ac:dyDescent="0.35">
      <c r="A15" s="13"/>
      <c r="B15" s="85">
        <f t="shared" ca="1" si="0"/>
        <v>46189</v>
      </c>
      <c r="C15" s="86"/>
      <c r="D15" s="87"/>
      <c r="E15" s="86"/>
      <c r="F15" s="35"/>
      <c r="G15" s="44">
        <f t="shared" si="1"/>
        <v>0</v>
      </c>
      <c r="H15" s="50"/>
      <c r="I15" s="45"/>
      <c r="J15" s="45"/>
      <c r="K15" s="45"/>
      <c r="L15" s="46"/>
      <c r="M15" s="30"/>
    </row>
    <row r="16" spans="1:15" s="19" customFormat="1" ht="35" customHeight="1" x14ac:dyDescent="0.35">
      <c r="A16" s="13"/>
      <c r="B16" s="85">
        <f t="shared" ca="1" si="0"/>
        <v>46190</v>
      </c>
      <c r="C16" s="86"/>
      <c r="D16" s="87"/>
      <c r="E16" s="86"/>
      <c r="F16" s="35"/>
      <c r="G16" s="36">
        <f t="shared" si="1"/>
        <v>0</v>
      </c>
      <c r="H16" s="38"/>
      <c r="I16" s="38"/>
      <c r="J16" s="38"/>
      <c r="K16" s="38"/>
      <c r="L16" s="39"/>
      <c r="M16" s="30"/>
    </row>
    <row r="17" spans="1:14" ht="35" customHeight="1" thickBot="1" x14ac:dyDescent="0.4">
      <c r="A17" s="5"/>
      <c r="B17" s="83"/>
      <c r="C17" s="83"/>
      <c r="D17" s="83"/>
      <c r="E17" s="83"/>
      <c r="F17" s="51"/>
      <c r="G17" s="52" t="s">
        <v>1</v>
      </c>
      <c r="H17" s="53">
        <f>SUM(H10:H16)</f>
        <v>1.3333333333333333</v>
      </c>
      <c r="I17" s="53">
        <f>SUM(I10:I16)</f>
        <v>9.7222222222222376E-2</v>
      </c>
      <c r="J17" s="53">
        <f>SUM(J10:J16)</f>
        <v>0.33333333333333331</v>
      </c>
      <c r="K17" s="53">
        <f>SUM(K10:K16)</f>
        <v>0</v>
      </c>
      <c r="L17" s="54">
        <f>SUM(L10:L16)</f>
        <v>0</v>
      </c>
      <c r="M17" s="5"/>
    </row>
    <row r="18" spans="1:14" ht="30" customHeight="1" thickTop="1" thickBot="1" x14ac:dyDescent="0.4">
      <c r="A18" s="5"/>
      <c r="B18" s="83"/>
      <c r="C18" s="83"/>
      <c r="D18" s="83"/>
      <c r="E18" s="83"/>
      <c r="F18" s="35"/>
      <c r="G18" s="33"/>
      <c r="H18" s="33"/>
      <c r="I18" s="33"/>
      <c r="J18" s="33"/>
      <c r="K18" s="33"/>
      <c r="L18" s="33"/>
      <c r="M18" s="5"/>
    </row>
    <row r="19" spans="1:14" s="19" customFormat="1" ht="35" customHeight="1" thickTop="1" x14ac:dyDescent="0.35">
      <c r="A19" s="13"/>
      <c r="B19" s="7" t="s">
        <v>14</v>
      </c>
      <c r="C19" s="7" t="s">
        <v>31</v>
      </c>
      <c r="D19" s="7" t="s">
        <v>24</v>
      </c>
      <c r="E19" s="84" t="s">
        <v>32</v>
      </c>
      <c r="F19" s="55"/>
      <c r="G19" s="8" t="s">
        <v>25</v>
      </c>
      <c r="H19" s="9" t="s">
        <v>26</v>
      </c>
      <c r="I19" s="9" t="s">
        <v>27</v>
      </c>
      <c r="J19" s="9" t="s">
        <v>28</v>
      </c>
      <c r="K19" s="9" t="s">
        <v>29</v>
      </c>
      <c r="L19" s="10" t="s">
        <v>30</v>
      </c>
      <c r="M19" s="30"/>
      <c r="N19" s="4"/>
    </row>
    <row r="20" spans="1:14" s="19" customFormat="1" ht="35" customHeight="1" x14ac:dyDescent="0.35">
      <c r="A20" s="13"/>
      <c r="B20" s="31">
        <f ca="1">B16+1</f>
        <v>46191</v>
      </c>
      <c r="C20" s="32"/>
      <c r="D20" s="56"/>
      <c r="E20" s="34"/>
      <c r="F20" s="35"/>
      <c r="G20" s="36">
        <f>MROUND((IF(OR(C20="",E20=""),0,IF(E20&lt;C20,E20+1-C20,E20-C20))-D20/1440),1/1440)</f>
        <v>0</v>
      </c>
      <c r="H20" s="38"/>
      <c r="I20" s="38"/>
      <c r="J20" s="38"/>
      <c r="K20" s="38"/>
      <c r="L20" s="39"/>
      <c r="M20" s="30"/>
    </row>
    <row r="21" spans="1:14" s="19" customFormat="1" ht="35" customHeight="1" x14ac:dyDescent="0.35">
      <c r="A21" s="13"/>
      <c r="B21" s="40">
        <f t="shared" ref="B21:B26" ca="1" si="2">B20+1</f>
        <v>46192</v>
      </c>
      <c r="C21" s="41"/>
      <c r="D21" s="43"/>
      <c r="E21" s="48"/>
      <c r="F21" s="35"/>
      <c r="G21" s="44">
        <f t="shared" ref="G21:G26" si="3">MROUND((IF(OR(C21="",E21=""),0,IF(E21&lt;C21,E21+1-C21,E21-C21))-D21/1440),1/1440)</f>
        <v>0</v>
      </c>
      <c r="H21" s="45"/>
      <c r="I21" s="45"/>
      <c r="J21" s="45"/>
      <c r="K21" s="45"/>
      <c r="L21" s="46"/>
      <c r="M21" s="30"/>
    </row>
    <row r="22" spans="1:14" s="19" customFormat="1" ht="35" customHeight="1" x14ac:dyDescent="0.35">
      <c r="A22" s="13"/>
      <c r="B22" s="49">
        <f t="shared" ca="1" si="2"/>
        <v>46193</v>
      </c>
      <c r="C22" s="41"/>
      <c r="D22" s="43"/>
      <c r="E22" s="42"/>
      <c r="F22" s="35"/>
      <c r="G22" s="44">
        <f t="shared" si="3"/>
        <v>0</v>
      </c>
      <c r="H22" s="50"/>
      <c r="I22" s="45"/>
      <c r="J22" s="45"/>
      <c r="K22" s="45"/>
      <c r="L22" s="46"/>
      <c r="M22" s="30"/>
    </row>
    <row r="23" spans="1:14" s="19" customFormat="1" ht="35" customHeight="1" x14ac:dyDescent="0.35">
      <c r="A23" s="13"/>
      <c r="B23" s="31">
        <f t="shared" ca="1" si="2"/>
        <v>46194</v>
      </c>
      <c r="C23" s="41"/>
      <c r="D23" s="33"/>
      <c r="E23" s="48"/>
      <c r="F23" s="35"/>
      <c r="G23" s="44">
        <f t="shared" si="3"/>
        <v>0</v>
      </c>
      <c r="H23" s="50"/>
      <c r="I23" s="45"/>
      <c r="J23" s="45"/>
      <c r="K23" s="45"/>
      <c r="L23" s="46"/>
      <c r="M23" s="30"/>
    </row>
    <row r="24" spans="1:14" s="19" customFormat="1" ht="35" customHeight="1" x14ac:dyDescent="0.35">
      <c r="A24" s="13"/>
      <c r="B24" s="49">
        <f t="shared" ca="1" si="2"/>
        <v>46195</v>
      </c>
      <c r="C24" s="42"/>
      <c r="D24" s="43"/>
      <c r="E24" s="42"/>
      <c r="F24" s="35"/>
      <c r="G24" s="44">
        <f t="shared" si="3"/>
        <v>0</v>
      </c>
      <c r="H24" s="50"/>
      <c r="I24" s="45"/>
      <c r="J24" s="45"/>
      <c r="K24" s="45"/>
      <c r="L24" s="46"/>
      <c r="M24" s="30"/>
    </row>
    <row r="25" spans="1:14" s="19" customFormat="1" ht="35" customHeight="1" x14ac:dyDescent="0.35">
      <c r="A25" s="13"/>
      <c r="B25" s="57">
        <f t="shared" ca="1" si="2"/>
        <v>46196</v>
      </c>
      <c r="C25" s="58"/>
      <c r="D25" s="59"/>
      <c r="E25" s="60"/>
      <c r="F25" s="35"/>
      <c r="G25" s="61">
        <f t="shared" si="3"/>
        <v>0</v>
      </c>
      <c r="H25" s="62"/>
      <c r="I25" s="63"/>
      <c r="J25" s="63"/>
      <c r="K25" s="63"/>
      <c r="L25" s="64"/>
      <c r="M25" s="30"/>
    </row>
    <row r="26" spans="1:14" s="19" customFormat="1" ht="35" customHeight="1" x14ac:dyDescent="0.35">
      <c r="A26" s="13"/>
      <c r="B26" s="31">
        <f t="shared" ca="1" si="2"/>
        <v>46197</v>
      </c>
      <c r="C26" s="47"/>
      <c r="D26" s="33"/>
      <c r="E26" s="48"/>
      <c r="F26" s="35"/>
      <c r="G26" s="36">
        <f t="shared" si="3"/>
        <v>0</v>
      </c>
      <c r="H26" s="37"/>
      <c r="I26" s="38"/>
      <c r="J26" s="38"/>
      <c r="K26" s="38"/>
      <c r="L26" s="39"/>
      <c r="M26" s="30"/>
    </row>
    <row r="27" spans="1:14" ht="35" customHeight="1" thickBot="1" x14ac:dyDescent="0.4">
      <c r="A27" s="5"/>
      <c r="B27" s="51"/>
      <c r="C27" s="51"/>
      <c r="D27" s="51"/>
      <c r="E27" s="51"/>
      <c r="F27" s="51"/>
      <c r="G27" s="65" t="s">
        <v>1</v>
      </c>
      <c r="H27" s="53">
        <f>SUM(H20:H26)</f>
        <v>0</v>
      </c>
      <c r="I27" s="53">
        <f>SUM(I20:I26)</f>
        <v>0</v>
      </c>
      <c r="J27" s="53">
        <f>SUM(J20:J26)</f>
        <v>0</v>
      </c>
      <c r="K27" s="53">
        <f>SUM(K20:K26)</f>
        <v>0</v>
      </c>
      <c r="L27" s="54">
        <f>SUM(L20:L26)</f>
        <v>0</v>
      </c>
      <c r="M27" s="5"/>
    </row>
    <row r="28" spans="1:14" ht="35" customHeight="1" thickTop="1" thickBot="1" x14ac:dyDescent="0.4">
      <c r="A28" s="5"/>
      <c r="B28" s="66"/>
      <c r="C28" s="66"/>
      <c r="D28" s="66"/>
      <c r="E28" s="66"/>
      <c r="F28" s="66"/>
      <c r="G28" s="67"/>
      <c r="H28" s="68"/>
      <c r="I28" s="68"/>
      <c r="J28" s="68"/>
      <c r="K28" s="68"/>
      <c r="L28" s="68"/>
      <c r="M28" s="5"/>
    </row>
    <row r="29" spans="1:14" ht="35" customHeight="1" thickTop="1" x14ac:dyDescent="0.35">
      <c r="A29" s="5"/>
      <c r="B29" s="5"/>
      <c r="C29" s="5"/>
      <c r="D29" s="5"/>
      <c r="E29" s="5"/>
      <c r="F29" s="69"/>
      <c r="G29" s="11" t="s">
        <v>33</v>
      </c>
      <c r="H29" s="11" t="s">
        <v>2</v>
      </c>
      <c r="I29" s="11" t="s">
        <v>3</v>
      </c>
      <c r="J29" s="11" t="s">
        <v>4</v>
      </c>
      <c r="K29" s="11" t="s">
        <v>5</v>
      </c>
      <c r="L29" s="11" t="s">
        <v>6</v>
      </c>
      <c r="M29" s="5"/>
    </row>
    <row r="30" spans="1:14" s="19" customFormat="1" ht="35" customHeight="1" thickBot="1" x14ac:dyDescent="0.4">
      <c r="A30" s="13"/>
      <c r="B30" s="103"/>
      <c r="C30" s="103"/>
      <c r="D30" s="103"/>
      <c r="E30" s="70"/>
      <c r="F30" s="24"/>
      <c r="G30" s="71" t="s">
        <v>15</v>
      </c>
      <c r="H30" s="72">
        <v>15</v>
      </c>
      <c r="I30" s="73">
        <f>1.5*H30</f>
        <v>22.5</v>
      </c>
      <c r="J30" s="74">
        <v>15</v>
      </c>
      <c r="K30" s="73">
        <v>15</v>
      </c>
      <c r="L30" s="75">
        <v>15</v>
      </c>
      <c r="M30" s="30"/>
      <c r="N30" s="4"/>
    </row>
    <row r="31" spans="1:14" s="19" customFormat="1" ht="35" customHeight="1" thickTop="1" x14ac:dyDescent="0.35">
      <c r="A31" s="13"/>
      <c r="B31" s="104" t="s">
        <v>7</v>
      </c>
      <c r="C31" s="104"/>
      <c r="D31" s="104"/>
      <c r="E31" s="76" t="s">
        <v>8</v>
      </c>
      <c r="F31" s="24"/>
      <c r="G31" s="77" t="s">
        <v>16</v>
      </c>
      <c r="H31" s="78">
        <f>ROUND((H27+H17)*24*H30,2)</f>
        <v>480</v>
      </c>
      <c r="I31" s="79">
        <f>ROUND((I27+I17)*24*I30,2)</f>
        <v>52.5</v>
      </c>
      <c r="J31" s="79">
        <f>ROUND((J27+J17)*24*J30,2)</f>
        <v>120</v>
      </c>
      <c r="K31" s="79">
        <f>ROUND((K27+K17)*24*K30,2)</f>
        <v>0</v>
      </c>
      <c r="L31" s="79">
        <f>ROUND((L27+L17)*24*L30,2)</f>
        <v>0</v>
      </c>
      <c r="M31" s="30"/>
    </row>
    <row r="32" spans="1:14" ht="35" customHeight="1" thickBot="1" x14ac:dyDescent="0.4">
      <c r="A32" s="5"/>
      <c r="B32" s="101"/>
      <c r="C32" s="101"/>
      <c r="D32" s="101"/>
      <c r="E32" s="80"/>
      <c r="F32" s="81"/>
      <c r="G32" s="82"/>
      <c r="H32" s="82"/>
      <c r="I32" s="82"/>
      <c r="J32" s="82"/>
      <c r="K32" s="82"/>
      <c r="L32" s="82"/>
      <c r="M32" s="5"/>
    </row>
    <row r="33" spans="1:13" ht="35" customHeight="1" thickTop="1" thickBot="1" x14ac:dyDescent="0.4">
      <c r="A33" s="5"/>
      <c r="B33" s="102" t="s">
        <v>9</v>
      </c>
      <c r="C33" s="102"/>
      <c r="D33" s="102"/>
      <c r="E33" s="24" t="s">
        <v>8</v>
      </c>
      <c r="F33" s="81"/>
      <c r="G33" s="92" t="s">
        <v>17</v>
      </c>
      <c r="H33" s="93"/>
      <c r="I33" s="93"/>
      <c r="J33" s="93"/>
      <c r="K33" s="99">
        <f>SUM(H31:L31)</f>
        <v>652.5</v>
      </c>
      <c r="L33" s="100"/>
      <c r="M33" s="5"/>
    </row>
    <row r="34" spans="1:13" ht="35" customHeight="1" thickTop="1" x14ac:dyDescent="0.35">
      <c r="A34" s="5"/>
      <c r="B34" s="5"/>
      <c r="C34" s="5"/>
      <c r="D34" s="5"/>
      <c r="E34" s="5"/>
      <c r="F34" s="5"/>
      <c r="G34" s="5"/>
      <c r="H34" s="5"/>
      <c r="I34" s="5"/>
      <c r="J34" s="5"/>
      <c r="K34" s="5"/>
      <c r="L34" s="5"/>
      <c r="M34" s="5"/>
    </row>
  </sheetData>
  <mergeCells count="18">
    <mergeCell ref="G2:L2"/>
    <mergeCell ref="B2:F2"/>
    <mergeCell ref="B4:D4"/>
    <mergeCell ref="B6:D6"/>
    <mergeCell ref="K33:L33"/>
    <mergeCell ref="B32:D32"/>
    <mergeCell ref="B33:D33"/>
    <mergeCell ref="B30:D30"/>
    <mergeCell ref="B31:D31"/>
    <mergeCell ref="B7:D7"/>
    <mergeCell ref="I5:J5"/>
    <mergeCell ref="G6:H6"/>
    <mergeCell ref="B5:D5"/>
    <mergeCell ref="G4:H4"/>
    <mergeCell ref="G5:H5"/>
    <mergeCell ref="I4:J4"/>
    <mergeCell ref="I6:J6"/>
    <mergeCell ref="G33:J33"/>
  </mergeCells>
  <dataValidations count="33">
    <dataValidation type="time" allowBlank="1" showInputMessage="1" showErrorMessage="1" errorTitle="Incorrect Time Format" error="Please use the following format for entering the time: 12:00 AM" sqref="E10:E16 C10:C16 E20:E26 C20:C26" xr:uid="{00000000-0002-0000-0000-000000000000}">
      <formula1>0</formula1>
      <formula2>0.999988425925926</formula2>
    </dataValidation>
    <dataValidation allowBlank="1" showInputMessage="1" showErrorMessage="1" promptTitle="Entering Times" prompt="Enter hours and minutes using the format H:MM such as 8:30 for 8 hours and 30 minutes, or 0:15 for 15 minutes._x000a__x000a_[Clear this message by removing Data Validation from these cells]" sqref="H10:L16" xr:uid="{00000000-0002-0000-0000-000001000000}"/>
    <dataValidation allowBlank="1" showInputMessage="1" showErrorMessage="1" prompt="Enter company address 1 in this cell, address 2 in the cell below" sqref="B4:D4" xr:uid="{8533365D-6632-488B-9ABB-0D34FE9FA5F8}"/>
    <dataValidation allowBlank="1" showInputMessage="1" showErrorMessage="1" prompt="Enter company City, State, and Zip code in this cell and the company phone number in the cell below" sqref="B6:D6" xr:uid="{C394AF93-2218-4547-B7D9-8266437EE70B}"/>
    <dataValidation allowBlank="1" showErrorMessage="1" prompt="Enter company phone number in cell A5._x000a_Next instruction is in cell A7." sqref="B7:D7" xr:uid="{6AADA1E4-5E54-4100-8860-01B46C67C95A}"/>
    <dataValidation allowBlank="1" showInputMessage="1" showErrorMessage="1" prompt="Two tables for tracking your time start in cell B9 and G9. Column F is blank. Column G calculates the total time based on Time In, Breaks, and Time Out. Cells B9 through E9 and G9 through L9 contain the table headers. " sqref="B9" xr:uid="{2B0F83E1-16A3-40EB-8AD5-C95A59AB06FE}"/>
    <dataValidation allowBlank="1" showErrorMessage="1" prompt="Day of the week is in A8, Enter Time In, Breaks, and Time Out starting in B8 through D8. Continue to G8 through K8 to enter Regular hours, Overtime hours, Sick hours, Holiday hours, and Vacation hours. Total hours are auto calculated in F8." sqref="B10" xr:uid="{8106E904-5983-455C-8B7D-DC4E9470B2B6}"/>
    <dataValidation allowBlank="1" showErrorMessage="1" prompt="Day of the week is in A9. Enter Time In, Breaks, and Time Out starting in B9 though D9. Continue to G9 through K9 to enter Regular hours, Overtime hours, Sick hours, Holiday hours, and Vacation hours. Total hours are auto calculated in F9." sqref="B11" xr:uid="{2E2EB2F9-B06D-4D72-8860-6190F1B982B9}"/>
    <dataValidation allowBlank="1" showErrorMessage="1" prompt="Day of the week is in A10. Enter Time In, Breaks, and Time Out starting in B10 though D10.  Continue to G10 through K10 to enter Regular hours, Overtime hours, Sick hours, Holiday hours, and Vacation hours. Total hours are auto calculated in F10." sqref="B12" xr:uid="{901F4335-440A-413E-9EA7-24F47C54175C}"/>
    <dataValidation allowBlank="1" showErrorMessage="1" prompt="Day of the week is in A11. Enter Time In, Breaks, and Time Out starting in B11 though D11.  Continue to G11 through K11 to enter Regular hours, Overtime hours, Sick hours, Holiday hours, and Vacation hours.  Total hours are auto calculated in F11." sqref="B13" xr:uid="{84C16AF0-4B20-4F9E-96F2-0C54387AC211}"/>
    <dataValidation allowBlank="1" showErrorMessage="1" prompt="Day of the week is in A12. Enter Time In, Breaks, and Time Out starting in B12 though D12.  Continue to G12 through K12 to enter Regular hours, Overtime hours, Sick hours, Holiday hours, and Vacation hours.  Total hours are auto calculated in F12." sqref="B14" xr:uid="{EA39524C-7850-4458-AE8D-4397192EACF3}"/>
    <dataValidation allowBlank="1" showErrorMessage="1" prompt="Day of the week is in A13. Enter Time In, Breaks, and Time Out starting in B13 though D13.  Continue to G13 through K13 to enter Regular hours, Overtime hours, Sick hours, Holiday hours, and Vacation hours. Total hours are auto calculated in F13." sqref="B15" xr:uid="{1CC8F4A5-414B-4B79-97E8-1EAD633DF10D}"/>
    <dataValidation allowBlank="1" showErrorMessage="1" prompt="Day of the week is in A14. Enter Time In, Breaks, and Time Out starting in B14 though D14.  Continue to F14 through K14 to enter Regular hours, Overtime hours, Sick hours, Holiday hours, and Vacation hours. Total hours are auto calculated in F14." sqref="B16" xr:uid="{78E5E6A0-838C-4DE7-B44B-1B433EAB59AD}"/>
    <dataValidation allowBlank="1" showErrorMessage="1" prompt="2 tables for tracking a 2nd week of time starts in A17 &amp; F17. Column E is blank. Column F in 2nd table calculates total time based on Time In, Breaks, &amp; Time Out. Cells A17-K17 have table headers. Hide 2nd week for weekly time sheet instead of biweekly" sqref="B19" xr:uid="{A59E7A9D-47DA-451E-9272-54A5A4D1B7EC}"/>
    <dataValidation allowBlank="1" showErrorMessage="1" prompt="Day of the week is in A18. Enter Time In, Breaks, and Time Out starting in B18 though D18.  Continue to G18 through K18 to enter Regular hours, Overtime hours, Sick hours, Holiday hours, and Vacation hours. Total hours are auto calculated in F18." sqref="B20" xr:uid="{E2E93BD3-480F-4746-A4FB-4854610BE261}"/>
    <dataValidation allowBlank="1" showErrorMessage="1" prompt="Day of the week is in A19. Enter Time In, Breaks, and Time Out starting in B19 though D19.  Continue to G19 through K19 to enter Regular hours, Overtime hours, Sick hours, Holiday hours, and Vacation hours. Total hours are auto calculated in F19." sqref="B21" xr:uid="{7478044C-48B4-488F-A2C7-46618ED1962E}"/>
    <dataValidation allowBlank="1" showErrorMessage="1" prompt="Day of the week is in A20. Enter Time In, Breaks, and Time Out starting in B20 though D20.  Continue to G20 through K20 to enter Regular hours, Overtime hours, Sick hours, Holiday hours, and Vacation hours. Total hours are auto calculated in F20." sqref="B22" xr:uid="{9F4F8A71-F4E7-40BF-8C94-F0E7ADC400A7}"/>
    <dataValidation allowBlank="1" showErrorMessage="1" prompt="Day of the week is in A21. Enter Time In, Breaks, and Time Out starting in B21 though D21.  Continue to G21 through K21 to enter Regular hours, Overtime hours, Sick hours, Holiday hours, and Vacation hours. Total hours are auto calculated in F21." sqref="B23" xr:uid="{63CA1A46-3015-473D-BF67-79294A76E218}"/>
    <dataValidation allowBlank="1" showErrorMessage="1" prompt="Day of the week is in A22. Enter Time In, Breaks, and Time Out starting in B22 though D22.  Continue to G22 through K22 to enter Regular hours, Overtime hours, Sick hours, Holiday hours, and Vacation hours. Total hours are auto calculated in F22." sqref="B24" xr:uid="{18C70986-46F1-4A33-9652-2377BDB32496}"/>
    <dataValidation allowBlank="1" showErrorMessage="1" prompt="Day of the week is in A23. Enter Time In, Breaks, and Time Out starting in B23 though D23.  Continue to G23 through K23 to enter Regular hours, Overtime hours, Sick hours, Holiday hours, and Vacation hours. Total hours are auto calculated in F23." sqref="B25" xr:uid="{5D8D859E-959F-4559-B9E1-064848ADD7B2}"/>
    <dataValidation allowBlank="1" showErrorMessage="1" prompt="Day of the week is in A24. Enter Time In, Breaks, and Time Out starting in B24 though D24.  Continue to G24 through K24 to enter Regular hours, Overtime hours, Sick hours, Holiday hours, and Vacation hours. Total hours are auto calculated in F24." sqref="B26" xr:uid="{088CF8DE-4667-44B9-871A-D9023D7E84F8}"/>
    <dataValidation allowBlank="1" showErrorMessage="1" prompt="Weekly Total Regular, Overtime, Sick, Holiday, and Vacation hours are auto calculated in cells G25 through K25._x000a_Continue to A27 for the next instruction._x000a_" sqref="B27" xr:uid="{35073376-6CF4-489A-9D9A-2800AA777C42}"/>
    <dataValidation allowBlank="1" showErrorMessage="1" prompt="Labels Regular, Overtime, Sick, Holiday, and Vacation are in cells G27 through K27. Enter the rate of pay per hour for these headings in cells G28 through K28. " sqref="B29" xr:uid="{C8901482-2C0C-4C84-8CB0-F7430774459E}"/>
    <dataValidation allowBlank="1" showErrorMessage="1" prompt="Enter the employee signature in A28 followed by the date in D28._x000a_Enter Rate per Hr in cells G28 through K28._x000a_Delete the rate and pay rows if you don't need them." sqref="B30:D30" xr:uid="{65C92C51-5D87-436A-8E2D-A659C225E0BB}"/>
    <dataValidation allowBlank="1" showErrorMessage="1" prompt="Employee Signature label is in A29 and Date lable is in D29. _x000a_Total pay is auto calculated for Regular, Overtime, Sick, Holiday and Vacation in cells G29 through K29._x000a_Grand Total pay is in J31." sqref="B31:D31" xr:uid="{3525AD42-C283-4F61-8893-FFD810D39801}"/>
    <dataValidation allowBlank="1" showErrorMessage="1" prompt="Enter the manager signature in A30 followed by the date in D30." sqref="B32:D32" xr:uid="{B928BA84-BA99-439C-B3AB-C9AE2575F06B}"/>
    <dataValidation allowBlank="1" showErrorMessage="1" prompt="Manager Signature label is in A31 and Date label is in D31._x000a_Grand Total pay is in J31._x000a_" sqref="B33:D33" xr:uid="{A223803B-8AA3-4759-8FBA-E431F242C98E}"/>
    <dataValidation allowBlank="1" showInputMessage="1" showErrorMessage="1" prompt="Create a weekly time sheet in this worksheet." sqref="A1" xr:uid="{AD8E04D8-B51D-4166-8F8A-D9D0CB707766}"/>
    <dataValidation allowBlank="1" showInputMessage="1" showErrorMessage="1" prompt=" Enter the title of this worksheet is in this cell. " sqref="B2:F2" xr:uid="{0195E0A6-9D67-4CCF-86D7-A60DCFBDE7EA}"/>
    <dataValidation allowBlank="1" showInputMessage="1" showErrorMessage="1" prompt="Enter your company name in this cell" sqref="G2:L2" xr:uid="{77C1CA39-2411-4F65-92C3-51798EA1BB07}"/>
    <dataValidation allowBlank="1" showInputMessage="1" showErrorMessage="1" prompt="Enter employee name in this cell" sqref="I4:J4" xr:uid="{5EA019FB-4A71-4157-81AA-0A7D8BCE7083}"/>
    <dataValidation allowBlank="1" showInputMessage="1" showErrorMessage="1" prompt="Enter manager name in this cell" sqref="I5:J5" xr:uid="{1F6AF2B7-D301-454F-9C62-C5EA6B3C68AF}"/>
    <dataValidation allowBlank="1" showInputMessage="1" showErrorMessage="1" prompt="Enter week start date in this cell" sqref="I6:J6" xr:uid="{44B989E5-259A-4079-B5C5-03E3317BB2E7}"/>
  </dataValidations>
  <printOptions horizontalCentered="1"/>
  <pageMargins left="0.7" right="0.7" top="0.75" bottom="0.75" header="0.3" footer="0.3"/>
  <pageSetup scale="82" fitToHeight="0" orientation="portrait" r:id="rId1"/>
  <headerFooter differentFirst="1" alignWithMargins="0"/>
  <ignoredErrors>
    <ignoredError sqref="H30:L30 B10:E10 B20" calculatedColumn="1"/>
  </ignoredErrors>
  <tableParts count="5">
    <tablePart r:id="rId2"/>
    <tablePart r:id="rId3"/>
    <tablePart r:id="rId4"/>
    <tablePart r:id="rId5"/>
    <tablePart r:id="rId6"/>
  </tableParts>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TM67403092</Template>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TimeSheet</vt:lpstr>
      <vt:lpstr>TimeSheet!Print_Area</vt:lpstr>
      <vt:lpstr>Week_Starting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2023-02-09T22:23:30Z</dcterms:created>
  <dcterms:modified xsi:type="dcterms:W3CDTF">2026-06-11T19:54:29Z</dcterms:modified>
  <cp:category/>
  <cp:contentStatus/>
</cp:coreProperties>
</file>