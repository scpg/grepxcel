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 filterPrivacy="1"/>
  <xr:revisionPtr revIDLastSave="0" documentId="8_{A1F63E7E-B03D-4FFF-883A-63506D1B7AF7}" xr6:coauthVersionLast="47" xr6:coauthVersionMax="47" xr10:uidLastSave="{00000000-0000-0000-0000-000000000000}"/>
  <bookViews>
    <workbookView xWindow="-98" yWindow="-98" windowWidth="28996" windowHeight="15675" activeTab="1" xr2:uid="{00000000-000D-0000-FFFF-FFFF00000000}"/>
  </bookViews>
  <sheets>
    <sheet name="START" sheetId="2" r:id="rId1"/>
    <sheet name="PERSONAL MONTHLY BUDGET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0" i="1" l="1"/>
  <c r="E6" i="1"/>
  <c r="J61" i="1"/>
  <c r="J59" i="1"/>
  <c r="J53" i="1"/>
  <c r="J54" i="1"/>
  <c r="J55" i="1"/>
  <c r="J56" i="1"/>
  <c r="J47" i="1"/>
  <c r="J48" i="1"/>
  <c r="J49" i="1"/>
  <c r="J41" i="1"/>
  <c r="J42" i="1"/>
  <c r="J43" i="1"/>
  <c r="J34" i="1"/>
  <c r="J35" i="1"/>
  <c r="J36" i="1"/>
  <c r="J37" i="1"/>
  <c r="J25" i="1"/>
  <c r="J26" i="1"/>
  <c r="J27" i="1"/>
  <c r="J28" i="1"/>
  <c r="J29" i="1"/>
  <c r="J30" i="1"/>
  <c r="J13" i="1"/>
  <c r="J14" i="1"/>
  <c r="J15" i="1"/>
  <c r="J16" i="1"/>
  <c r="J17" i="1"/>
  <c r="J18" i="1"/>
  <c r="J19" i="1"/>
  <c r="J20" i="1"/>
  <c r="J21" i="1"/>
  <c r="E57" i="1"/>
  <c r="E58" i="1"/>
  <c r="E59" i="1"/>
  <c r="E60" i="1"/>
  <c r="E61" i="1"/>
  <c r="E62" i="1"/>
  <c r="E63" i="1"/>
  <c r="E49" i="1"/>
  <c r="E50" i="1"/>
  <c r="E51" i="1"/>
  <c r="E52" i="1"/>
  <c r="E53" i="1"/>
  <c r="E43" i="1"/>
  <c r="E44" i="1"/>
  <c r="E45" i="1"/>
  <c r="E36" i="1"/>
  <c r="E37" i="1"/>
  <c r="E38" i="1"/>
  <c r="E39" i="1"/>
  <c r="E26" i="1"/>
  <c r="E27" i="1"/>
  <c r="E28" i="1"/>
  <c r="E29" i="1"/>
  <c r="E30" i="1"/>
  <c r="E31" i="1"/>
  <c r="E32" i="1"/>
  <c r="E13" i="1"/>
  <c r="E14" i="1"/>
  <c r="E15" i="1"/>
  <c r="E16" i="1"/>
  <c r="E17" i="1"/>
  <c r="E18" i="1"/>
  <c r="E19" i="1"/>
  <c r="E20" i="1"/>
  <c r="E21" i="1"/>
  <c r="E22" i="1"/>
  <c r="J38" i="1" l="1"/>
  <c r="J31" i="1"/>
  <c r="J6" i="1"/>
  <c r="J4" i="1"/>
  <c r="J8" i="1" s="1"/>
  <c r="E46" i="1"/>
  <c r="E23" i="1"/>
  <c r="E64" i="1"/>
  <c r="J44" i="1"/>
  <c r="J63" i="1"/>
  <c r="E40" i="1"/>
  <c r="E54" i="1"/>
  <c r="J50" i="1"/>
  <c r="J57" i="1"/>
  <c r="E33" i="1"/>
  <c r="J22" i="1"/>
</calcChain>
</file>

<file path=xl/sharedStrings.xml><?xml version="1.0" encoding="utf-8"?>
<sst xmlns="http://schemas.openxmlformats.org/spreadsheetml/2006/main" count="159" uniqueCount="97">
  <si>
    <t>PROJECTED MONTHLY INCOME</t>
  </si>
  <si>
    <t>Income 1</t>
  </si>
  <si>
    <t>Extra income</t>
  </si>
  <si>
    <t>Total monthly income</t>
  </si>
  <si>
    <t>ACTUAL MONTHLY INCOME</t>
  </si>
  <si>
    <t>HOUSING</t>
  </si>
  <si>
    <t>Projected Cost</t>
  </si>
  <si>
    <t>Actual Cost</t>
  </si>
  <si>
    <t>Difference</t>
  </si>
  <si>
    <t>ENTERTAINMENT</t>
  </si>
  <si>
    <t>Mortgage or rent</t>
  </si>
  <si>
    <t>Phone</t>
  </si>
  <si>
    <t>Electricity</t>
  </si>
  <si>
    <t>Movies</t>
  </si>
  <si>
    <t>Gas</t>
  </si>
  <si>
    <t>Concerts</t>
  </si>
  <si>
    <t>Water and sewer</t>
  </si>
  <si>
    <t>Sporting events</t>
  </si>
  <si>
    <t>Cable</t>
  </si>
  <si>
    <t>Live theater</t>
  </si>
  <si>
    <t>Waste removal</t>
  </si>
  <si>
    <t>Other</t>
  </si>
  <si>
    <t>Maintenance or repairs</t>
  </si>
  <si>
    <t>Supplies</t>
  </si>
  <si>
    <t>LOANS</t>
  </si>
  <si>
    <t>TRANSPORTATION</t>
  </si>
  <si>
    <t>Personal</t>
  </si>
  <si>
    <t>Vehicle payment</t>
  </si>
  <si>
    <t>Student</t>
  </si>
  <si>
    <t>Bus/taxi fare</t>
  </si>
  <si>
    <t>Credit card</t>
  </si>
  <si>
    <t>Insurance</t>
  </si>
  <si>
    <t>Licensing</t>
  </si>
  <si>
    <t>Fuel</t>
  </si>
  <si>
    <t>Maintenance</t>
  </si>
  <si>
    <t>TAXES</t>
  </si>
  <si>
    <t>Federal</t>
  </si>
  <si>
    <t>INSURANCE</t>
  </si>
  <si>
    <t>State</t>
  </si>
  <si>
    <t>Home</t>
  </si>
  <si>
    <t>Local</t>
  </si>
  <si>
    <t>Health</t>
  </si>
  <si>
    <t>Life</t>
  </si>
  <si>
    <t>SAVINGS OR INVESTMENTS</t>
  </si>
  <si>
    <t>Retirement account</t>
  </si>
  <si>
    <t>FOOD</t>
  </si>
  <si>
    <t>Investment account</t>
  </si>
  <si>
    <t>Groceries</t>
  </si>
  <si>
    <t>Dining out</t>
  </si>
  <si>
    <t>GIFTS AND DONATIONS</t>
  </si>
  <si>
    <t>Charity 1</t>
  </si>
  <si>
    <t>PETS</t>
  </si>
  <si>
    <t>Charity 2</t>
  </si>
  <si>
    <t>Food</t>
  </si>
  <si>
    <t>Charity 3</t>
  </si>
  <si>
    <t>Medical</t>
  </si>
  <si>
    <t>Grooming</t>
  </si>
  <si>
    <t>Toys</t>
  </si>
  <si>
    <t>LEGAL</t>
  </si>
  <si>
    <t>Attorney</t>
  </si>
  <si>
    <t>Alimony</t>
  </si>
  <si>
    <t>Payments on lien or judgment</t>
  </si>
  <si>
    <t>PERSONAL CARE</t>
  </si>
  <si>
    <t>Hair/nails</t>
  </si>
  <si>
    <t>Clothing</t>
  </si>
  <si>
    <t>TOTAL PROJECTED COST</t>
  </si>
  <si>
    <t>Dry cleaning</t>
  </si>
  <si>
    <t>Health club</t>
  </si>
  <si>
    <t>TOTAL ACTUAL COST</t>
  </si>
  <si>
    <t>Organization dues or fees</t>
  </si>
  <si>
    <t>TOTAL DIFFERENCE</t>
  </si>
  <si>
    <t>Subtotal</t>
  </si>
  <si>
    <t>PERSONAL MONTHLY BUDGET</t>
  </si>
  <si>
    <t>PROJECTED BALANCE 
(Projected income minus expenses)</t>
  </si>
  <si>
    <t>ACTUAL BALANCE 
(Actual income minus expenses)</t>
  </si>
  <si>
    <t>DIFFERENCE 
(Actual minus projected)</t>
  </si>
  <si>
    <t>Enter expenses incurred on various categories in respective tables.</t>
  </si>
  <si>
    <t>Note: </t>
  </si>
  <si>
    <t>Additional instructions have been provided in column A in PERSONAL MONTHLY BUDGET worksheet. This text has been intentionally hidden. To remove text, select column A, then select DELETE. To unhide text, select column A, then change font color.</t>
  </si>
  <si>
    <t>To learn more about tables in the worksheet, press SHIFT and then F10 within a table, select the TABLE option, and then select ALTERNATIVE TEXT.</t>
  </si>
  <si>
    <t>ABOUT THIS TEMPLATE</t>
  </si>
  <si>
    <t>Create a Personal Monthly Budget in this worksheet. Helpful instructions on how to use this worksheet are in cells in this column. Arrow down to get started.</t>
  </si>
  <si>
    <t>Title of this worksheet is in cell at right. Next instruction is in cell A4.</t>
  </si>
  <si>
    <t>Projected Monthly Income label is in cell at right. Enter Income 1 in cell E4 and Extra Income in E5 to calculate Total monthly income in E6. Next instruction is in cell A6.</t>
  </si>
  <si>
    <t>Projected Balance is auto calculated in cell J4, Actual Balance in J6, and Difference in J8. Next instruction is in cell A8.</t>
  </si>
  <si>
    <t>Actual Monthly Income label is in cell at right. Enter Income 1 in cell E8 and Extra Income in E9 to calculate Total monthly income in E10. Next instruction is in cell A12.</t>
  </si>
  <si>
    <t>Enter details in Housing table starting in cell at right and in Entertainment table starting in cell G12. Next instruction is in cell A25.</t>
  </si>
  <si>
    <t>Enter details in Transportation table starting in cell at right and in Loans table starting in cell G24. Next instruction is in cell A35.</t>
  </si>
  <si>
    <t>Enter details in Insurance table starting in cell at right and in Taxes table starting in cell G33. Next instruction is in cell A42.</t>
  </si>
  <si>
    <t>Enter details in Food table starting in cell at right and in Savings table starting in cell G40. Next instruction is in cell A48.</t>
  </si>
  <si>
    <t>Enter details in Pets table starting in cell at right and in Gifts table starting in cell G46. Next instruction is in cell A56.</t>
  </si>
  <si>
    <t>Enter details in Personal Care table starting in cell at right and in Legal table starting in cell G52. Next instruction is in cell A59.</t>
  </si>
  <si>
    <t>Total Projected Cost is auto calculated in cell J59, Total Actual Cost in J61, and Total Difference in J63.</t>
  </si>
  <si>
    <t>Use this personal monthly budget worksheet to track your projected and actual monthly income and projected and actual cost.</t>
  </si>
  <si>
    <t>Projected balance, actual balance, and difference are auto-calculated.</t>
  </si>
  <si>
    <t>Night out</t>
  </si>
  <si>
    <t>Music platforms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</si>
</sst>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&quot;$&quot;#,##0.00_);[Red]\(&quot;$&quot;#,##0.00\)"/>
    <numFmt numFmtId="165" formatCode="&quot;$&quot;#,##0.00"/>
  </numFmts>
  <fonts count="10" x14ac:knownFonts="1">
    <font>
      <sz val="10"/>
      <color theme="1" tint="0.2499465926084170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 tint="0.24994659260841701"/>
      <name val="Century Gothic"/>
      <family val="2"/>
      <scheme val="major"/>
    </font>
    <font>
      <b/>
      <sz val="10"/>
      <color theme="1" tint="0.24994659260841701"/>
      <name val="Century Gothic"/>
      <family val="2"/>
      <scheme val="major"/>
    </font>
    <font>
      <sz val="22"/>
      <color theme="3" tint="0.24994659260841701"/>
      <name val="Century Gothic"/>
      <family val="2"/>
      <scheme val="major"/>
    </font>
    <font>
      <sz val="11"/>
      <color theme="0"/>
      <name val="Calibri"/>
      <family val="2"/>
      <scheme val="minor"/>
    </font>
    <font>
      <sz val="11"/>
      <color theme="1" tint="0.24994659260841701"/>
      <name val="Calibri"/>
      <family val="2"/>
      <scheme val="minor"/>
    </font>
    <font>
      <b/>
      <sz val="11"/>
      <color theme="1" tint="0.24994659260841701"/>
      <name val="Calibri"/>
      <family val="2"/>
      <scheme val="minor"/>
    </font>
    <font>
      <b/>
      <sz val="16"/>
      <color theme="1" tint="0.24994659260841701"/>
      <name val="Century Gothic"/>
      <family val="2"/>
      <scheme val="major"/>
    </font>
    <font>
      <sz val="10"/>
      <color theme="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6795556505021"/>
        <bgColor indexed="64"/>
      </patternFill>
    </fill>
    <fill>
      <patternFill patternType="solid">
        <fgColor theme="6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/>
      <diagonal/>
    </border>
    <border>
      <left style="thin">
        <color theme="0" tint="-0.34998626667073579"/>
      </left>
      <right style="thin">
        <color theme="0" tint="-0.34998626667073579"/>
      </right>
      <top/>
      <bottom/>
      <diagonal/>
    </border>
    <border>
      <left style="thin">
        <color theme="0" tint="-0.34998626667073579"/>
      </left>
      <right style="thin">
        <color theme="0" tint="-0.34998626667073579"/>
      </right>
      <top/>
      <bottom style="thin">
        <color theme="0" tint="-0.34998626667073579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/>
      <top/>
      <bottom style="medium">
        <color theme="4" tint="-0.249946592608417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4">
    <xf numFmtId="0" fontId="0" fillId="0" borderId="0"/>
    <xf numFmtId="0" fontId="4" fillId="0" borderId="7" applyNumberFormat="0" applyFill="0" applyAlignment="0" applyProtection="0"/>
    <xf numFmtId="0" fontId="2" fillId="0" borderId="8" applyNumberFormat="0" applyFill="0" applyBorder="0" applyAlignment="0" applyProtection="0"/>
    <xf numFmtId="0" fontId="3" fillId="0" borderId="9" applyNumberFormat="0" applyFill="0" applyBorder="0" applyAlignment="0" applyProtection="0"/>
  </cellStyleXfs>
  <cellXfs count="24">
    <xf numFmtId="0" fontId="0" fillId="0" borderId="0" xfId="0"/>
    <xf numFmtId="0" fontId="4" fillId="0" borderId="7" xfId="1"/>
    <xf numFmtId="0" fontId="1" fillId="0" borderId="0" xfId="0" applyFont="1"/>
    <xf numFmtId="165" fontId="0" fillId="0" borderId="0" xfId="0" applyNumberFormat="1"/>
    <xf numFmtId="0" fontId="2" fillId="0" borderId="0" xfId="0" applyFont="1"/>
    <xf numFmtId="164" fontId="2" fillId="0" borderId="2" xfId="0" applyNumberFormat="1" applyFont="1" applyBorder="1"/>
    <xf numFmtId="164" fontId="2" fillId="0" borderId="3" xfId="0" applyNumberFormat="1" applyFont="1" applyBorder="1"/>
    <xf numFmtId="164" fontId="3" fillId="2" borderId="4" xfId="0" applyNumberFormat="1" applyFont="1" applyFill="1" applyBorder="1"/>
    <xf numFmtId="0" fontId="6" fillId="0" borderId="0" xfId="0" applyFont="1" applyAlignment="1">
      <alignment vertical="center" wrapText="1"/>
    </xf>
    <xf numFmtId="0" fontId="7" fillId="0" borderId="0" xfId="0" applyFont="1" applyAlignment="1">
      <alignment vertical="center" wrapText="1"/>
    </xf>
    <xf numFmtId="0" fontId="5" fillId="0" borderId="0" xfId="0" applyFont="1"/>
    <xf numFmtId="0" fontId="9" fillId="0" borderId="0" xfId="0" applyFont="1"/>
    <xf numFmtId="0" fontId="8" fillId="3" borderId="0" xfId="2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>
      <alignment horizontal="center"/>
    </xf>
    <xf numFmtId="0" fontId="3" fillId="0" borderId="1" xfId="3" applyBorder="1" applyAlignment="1">
      <alignment horizontal="left" vertical="center"/>
    </xf>
    <xf numFmtId="164" fontId="3" fillId="2" borderId="1" xfId="0" applyNumberFormat="1" applyFont="1" applyFill="1" applyBorder="1" applyAlignment="1">
      <alignment vertical="center"/>
    </xf>
    <xf numFmtId="0" fontId="2" fillId="0" borderId="5" xfId="2" applyBorder="1" applyAlignment="1">
      <alignment vertical="center"/>
    </xf>
    <xf numFmtId="0" fontId="2" fillId="0" borderId="6" xfId="2" applyBorder="1" applyAlignment="1">
      <alignment vertical="center"/>
    </xf>
    <xf numFmtId="0" fontId="2" fillId="0" borderId="2" xfId="2" applyBorder="1" applyAlignment="1">
      <alignment vertical="center" wrapText="1"/>
    </xf>
    <xf numFmtId="0" fontId="2" fillId="0" borderId="3" xfId="2" applyBorder="1" applyAlignment="1">
      <alignment vertical="center" wrapText="1"/>
    </xf>
    <xf numFmtId="0" fontId="2" fillId="0" borderId="4" xfId="2" applyBorder="1" applyAlignment="1">
      <alignment vertical="center" wrapText="1"/>
    </xf>
    <xf numFmtId="0" fontId="2" fillId="0" borderId="1" xfId="2" applyBorder="1" applyAlignment="1">
      <alignment horizontal="left" vertical="center" wrapText="1"/>
    </xf>
    <xf numFmtId="0" fontId="2" fillId="0" borderId="1" xfId="2" applyBorder="1" applyAlignment="1">
      <alignment horizontal="left" vertical="center"/>
    </xf>
  </cellXfs>
  <cellStyles count="4">
    <cellStyle name="Heading 1" xfId="1" builtinId="16" customBuiltin="1"/>
    <cellStyle name="Heading 2" xfId="2" builtinId="17" customBuiltin="1"/>
    <cellStyle name="Heading 3" xfId="3" builtinId="18" customBuiltin="1"/>
    <cellStyle name="Normal" xfId="0" builtinId="0" customBuiltin="1"/>
  </cellStyles>
  <dxfs count="69">
    <dxf>
      <font>
        <color rgb="FFC00000"/>
      </font>
    </dxf>
    <dxf>
      <font>
        <color rgb="FFC00000"/>
      </font>
    </dxf>
    <dxf>
      <numFmt numFmtId="165" formatCode="&quot;$&quot;#,##0.00"/>
    </dxf>
    <dxf>
      <numFmt numFmtId="165" formatCode="&quot;$&quot;#,##0.00"/>
    </dxf>
    <dxf>
      <numFmt numFmtId="165" formatCode="&quot;$&quot;#,##0.00"/>
    </dxf>
    <dxf>
      <numFmt numFmtId="165" formatCode="&quot;$&quot;#,##0.00"/>
    </dxf>
    <dxf>
      <numFmt numFmtId="165" formatCode="&quot;$&quot;#,##0.00"/>
    </dxf>
    <dxf>
      <numFmt numFmtId="165" formatCode="&quot;$&quot;#,##0.00"/>
    </dxf>
    <dxf>
      <numFmt numFmtId="165" formatCode="&quot;$&quot;#,##0.00"/>
    </dxf>
    <dxf>
      <numFmt numFmtId="165" formatCode="&quot;$&quot;#,##0.00"/>
    </dxf>
    <dxf>
      <numFmt numFmtId="165" formatCode="&quot;$&quot;#,##0.00"/>
    </dxf>
    <dxf>
      <numFmt numFmtId="165" formatCode="&quot;$&quot;#,##0.00"/>
    </dxf>
    <dxf>
      <numFmt numFmtId="165" formatCode="&quot;$&quot;#,##0.00"/>
    </dxf>
    <dxf>
      <numFmt numFmtId="165" formatCode="&quot;$&quot;#,##0.00"/>
    </dxf>
    <dxf>
      <numFmt numFmtId="165" formatCode="&quot;$&quot;#,##0.00"/>
    </dxf>
    <dxf>
      <numFmt numFmtId="165" formatCode="&quot;$&quot;#,##0.00"/>
    </dxf>
    <dxf>
      <numFmt numFmtId="165" formatCode="&quot;$&quot;#,##0.00"/>
    </dxf>
    <dxf>
      <numFmt numFmtId="165" formatCode="&quot;$&quot;#,##0.00"/>
    </dxf>
    <dxf>
      <numFmt numFmtId="165" formatCode="&quot;$&quot;#,##0.00"/>
    </dxf>
    <dxf>
      <numFmt numFmtId="165" formatCode="&quot;$&quot;#,##0.00"/>
    </dxf>
    <dxf>
      <numFmt numFmtId="165" formatCode="&quot;$&quot;#,##0.00"/>
    </dxf>
    <dxf>
      <numFmt numFmtId="165" formatCode="&quot;$&quot;#,##0.00"/>
    </dxf>
    <dxf>
      <numFmt numFmtId="165" formatCode="&quot;$&quot;#,##0.00"/>
    </dxf>
    <dxf>
      <numFmt numFmtId="165" formatCode="&quot;$&quot;#,##0.00"/>
    </dxf>
    <dxf>
      <numFmt numFmtId="165" formatCode="&quot;$&quot;#,##0.00"/>
    </dxf>
    <dxf>
      <numFmt numFmtId="165" formatCode="&quot;$&quot;#,##0.00"/>
    </dxf>
    <dxf>
      <numFmt numFmtId="165" formatCode="&quot;$&quot;#,##0.00"/>
    </dxf>
    <dxf>
      <numFmt numFmtId="165" formatCode="&quot;$&quot;#,##0.00"/>
    </dxf>
    <dxf>
      <numFmt numFmtId="165" formatCode="&quot;$&quot;#,##0.00"/>
    </dxf>
    <dxf>
      <numFmt numFmtId="165" formatCode="&quot;$&quot;#,##0.00"/>
    </dxf>
    <dxf>
      <numFmt numFmtId="165" formatCode="&quot;$&quot;#,##0.00"/>
    </dxf>
    <dxf>
      <numFmt numFmtId="165" formatCode="&quot;$&quot;#,##0.00"/>
    </dxf>
    <dxf>
      <numFmt numFmtId="165" formatCode="&quot;$&quot;#,##0.00"/>
    </dxf>
    <dxf>
      <numFmt numFmtId="165" formatCode="&quot;$&quot;#,##0.00"/>
    </dxf>
    <dxf>
      <numFmt numFmtId="165" formatCode="&quot;$&quot;#,##0.00"/>
    </dxf>
    <dxf>
      <numFmt numFmtId="165" formatCode="&quot;$&quot;#,##0.00"/>
    </dxf>
    <dxf>
      <numFmt numFmtId="165" formatCode="&quot;$&quot;#,##0.00"/>
    </dxf>
    <dxf>
      <numFmt numFmtId="165" formatCode="&quot;$&quot;#,##0.00"/>
    </dxf>
    <dxf>
      <numFmt numFmtId="165" formatCode="&quot;$&quot;#,##0.00"/>
    </dxf>
    <dxf>
      <numFmt numFmtId="165" formatCode="&quot;$&quot;#,##0.00"/>
    </dxf>
    <dxf>
      <numFmt numFmtId="165" formatCode="&quot;$&quot;#,##0.00"/>
    </dxf>
    <dxf>
      <numFmt numFmtId="165" formatCode="&quot;$&quot;#,##0.00"/>
    </dxf>
    <dxf>
      <numFmt numFmtId="165" formatCode="&quot;$&quot;#,##0.00"/>
    </dxf>
    <dxf>
      <numFmt numFmtId="165" formatCode="&quot;$&quot;#,##0.00"/>
    </dxf>
    <dxf>
      <numFmt numFmtId="165" formatCode="&quot;$&quot;#,##0.00"/>
    </dxf>
    <dxf>
      <numFmt numFmtId="165" formatCode="&quot;$&quot;#,##0.00"/>
    </dxf>
    <dxf>
      <numFmt numFmtId="165" formatCode="&quot;$&quot;#,##0.00"/>
    </dxf>
    <dxf>
      <numFmt numFmtId="165" formatCode="&quot;$&quot;#,##0.00"/>
    </dxf>
    <dxf>
      <numFmt numFmtId="165" formatCode="&quot;$&quot;#,##0.00"/>
    </dxf>
    <dxf>
      <numFmt numFmtId="165" formatCode="&quot;$&quot;#,##0.00"/>
    </dxf>
    <dxf>
      <numFmt numFmtId="165" formatCode="&quot;$&quot;#,##0.00"/>
    </dxf>
    <dxf>
      <numFmt numFmtId="165" formatCode="&quot;$&quot;#,##0.00"/>
    </dxf>
    <dxf>
      <numFmt numFmtId="165" formatCode="&quot;$&quot;#,##0.00"/>
    </dxf>
    <dxf>
      <numFmt numFmtId="165" formatCode="&quot;$&quot;#,##0.00"/>
    </dxf>
    <dxf>
      <numFmt numFmtId="165" formatCode="&quot;$&quot;#,##0.00"/>
    </dxf>
    <dxf>
      <numFmt numFmtId="165" formatCode="&quot;$&quot;#,##0.00"/>
    </dxf>
    <dxf>
      <numFmt numFmtId="165" formatCode="&quot;$&quot;#,##0.00"/>
    </dxf>
    <dxf>
      <numFmt numFmtId="165" formatCode="&quot;$&quot;#,##0.00"/>
    </dxf>
    <dxf>
      <numFmt numFmtId="165" formatCode="&quot;$&quot;#,##0.00"/>
    </dxf>
    <dxf>
      <numFmt numFmtId="165" formatCode="&quot;$&quot;#,##0.00"/>
    </dxf>
    <dxf>
      <numFmt numFmtId="165" formatCode="&quot;$&quot;#,##0.00"/>
    </dxf>
    <dxf>
      <numFmt numFmtId="165" formatCode="&quot;$&quot;#,##0.00"/>
    </dxf>
    <dxf>
      <fill>
        <patternFill patternType="solid">
          <fgColor theme="4" tint="0.79998168889431442"/>
          <bgColor theme="4" tint="0.79998168889431442"/>
        </patternFill>
      </fill>
    </dxf>
    <dxf>
      <fill>
        <patternFill patternType="solid">
          <fgColor theme="4" tint="0.79998168889431442"/>
          <bgColor theme="4" tint="0.79998168889431442"/>
        </patternFill>
      </fill>
    </dxf>
    <dxf>
      <font>
        <b/>
        <color theme="1"/>
      </font>
    </dxf>
    <dxf>
      <font>
        <b val="0"/>
        <i val="0"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 tint="-0.499984740745262"/>
          <bgColor theme="4" tint="-0.499984740745262"/>
        </patternFill>
      </fill>
    </dxf>
    <dxf>
      <font>
        <color theme="1"/>
      </font>
      <border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  <horizontal style="thin">
          <color theme="4" tint="0.39997558519241921"/>
        </horizontal>
      </border>
    </dxf>
  </dxfs>
  <tableStyles count="1" defaultTableStyle="TableStyleLight9" defaultPivotStyle="PivotStyleLight16">
    <tableStyle name="Personal monthly budget" pivot="0" count="7" xr9:uid="{DF2684C2-C435-47FA-9646-E632C3AE8948}">
      <tableStyleElement type="wholeTable" dxfId="68"/>
      <tableStyleElement type="headerRow" dxfId="67"/>
      <tableStyleElement type="totalRow" dxfId="66"/>
      <tableStyleElement type="firstColumn" dxfId="65"/>
      <tableStyleElement type="lastColumn" dxfId="64"/>
      <tableStyleElement type="firstRowStripe" dxfId="63"/>
      <tableStyleElement type="firstColumnStripe" dxfId="62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Housing" displayName="Housing" ref="B12:E23" totalsRowCount="1">
  <autoFilter ref="B12:E22" xr:uid="{00000000-0009-0000-0100-000001000000}">
    <filterColumn colId="0" hiddenButton="1"/>
    <filterColumn colId="1" hiddenButton="1"/>
    <filterColumn colId="2" hiddenButton="1"/>
    <filterColumn colId="3" hiddenButton="1"/>
  </autoFilter>
  <tableColumns count="4">
    <tableColumn id="1" xr3:uid="{00000000-0010-0000-0000-000001000000}" name="HOUSING" totalsRowLabel="Subtotal"/>
    <tableColumn id="2" xr3:uid="{00000000-0010-0000-0000-000002000000}" name="Projected Cost"/>
    <tableColumn id="3" xr3:uid="{00000000-0010-0000-0000-000003000000}" name="Actual Cost"/>
    <tableColumn id="4" xr3:uid="{00000000-0010-0000-0000-000004000000}" name="Difference" totalsRowFunction="sum">
      <calculatedColumnFormula>Housing[[#This Row],[Projected Cost]]-Housing[[#This Row],[Actual Cost]]</calculatedColumnFormula>
    </tableColumn>
  </tableColumns>
  <tableStyleInfo name="Personal monthly budget" showFirstColumn="1" showLastColumn="1" showRowStripes="0" showColumnStripes="0"/>
  <extLst>
    <ext xmlns:x14="http://schemas.microsoft.com/office/spreadsheetml/2009/9/main" uri="{504A1905-F514-4f6f-8877-14C23A59335A}">
      <x14:table altTextSummary="Enter Projected and Actual Housing Costs in this table. Difference is auto calculated"/>
    </ext>
  </extLst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Entertainment" displayName="Entertainment" ref="G12:J22" totalsRowCount="1" headerRowCellStyle="Normal">
  <autoFilter ref="G12:J21" xr:uid="{00000000-0009-0000-0100-000002000000}">
    <filterColumn colId="0" hiddenButton="1"/>
    <filterColumn colId="1" hiddenButton="1"/>
    <filterColumn colId="2" hiddenButton="1"/>
    <filterColumn colId="3" hiddenButton="1"/>
  </autoFilter>
  <tableColumns count="4">
    <tableColumn id="1" xr3:uid="{00000000-0010-0000-0100-000001000000}" name="ENTERTAINMENT" totalsRowLabel="Subtotal"/>
    <tableColumn id="2" xr3:uid="{00000000-0010-0000-0100-000002000000}" name="Projected Cost" dataDxfId="61" totalsRowDxfId="60"/>
    <tableColumn id="3" xr3:uid="{00000000-0010-0000-0100-000003000000}" name="Actual Cost" dataDxfId="59" totalsRowDxfId="58"/>
    <tableColumn id="4" xr3:uid="{00000000-0010-0000-0100-000004000000}" name="Difference" totalsRowFunction="sum" dataDxfId="57" totalsRowDxfId="56">
      <calculatedColumnFormula>Entertainment[[#This Row],[Projected Cost]]-Entertainment[[#This Row],[Actual Cost]]</calculatedColumnFormula>
    </tableColumn>
  </tableColumns>
  <tableStyleInfo name="Personal monthly budget" showFirstColumn="0" showLastColumn="1" showRowStripes="0" showColumnStripes="0"/>
  <extLst>
    <ext xmlns:x14="http://schemas.microsoft.com/office/spreadsheetml/2009/9/main" uri="{504A1905-F514-4f6f-8877-14C23A59335A}">
      <x14:table altTextSummary="Enter Projected and Actual Entertainment Costs in this table. Difference is auto calculated"/>
    </ext>
  </extLst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Loans" displayName="Loans" ref="G24:J31" totalsRowCount="1">
  <autoFilter ref="G24:J30" xr:uid="{00000000-0009-0000-0100-000003000000}">
    <filterColumn colId="0" hiddenButton="1"/>
    <filterColumn colId="1" hiddenButton="1"/>
    <filterColumn colId="2" hiddenButton="1"/>
    <filterColumn colId="3" hiddenButton="1"/>
  </autoFilter>
  <tableColumns count="4">
    <tableColumn id="1" xr3:uid="{00000000-0010-0000-0200-000001000000}" name="LOANS" totalsRowLabel="Subtotal"/>
    <tableColumn id="2" xr3:uid="{00000000-0010-0000-0200-000002000000}" name="Projected Cost" dataDxfId="55" totalsRowDxfId="54"/>
    <tableColumn id="3" xr3:uid="{00000000-0010-0000-0200-000003000000}" name="Actual Cost" dataDxfId="53" totalsRowDxfId="52"/>
    <tableColumn id="4" xr3:uid="{00000000-0010-0000-0200-000004000000}" name="Difference" totalsRowFunction="sum" dataDxfId="51" totalsRowDxfId="50">
      <calculatedColumnFormula>Loans[[#This Row],[Projected Cost]]-Loans[[#This Row],[Actual Cost]]</calculatedColumnFormula>
    </tableColumn>
  </tableColumns>
  <tableStyleInfo name="Personal monthly budget" showFirstColumn="1" showLastColumn="1" showRowStripes="0" showColumnStripes="0"/>
  <extLst>
    <ext xmlns:x14="http://schemas.microsoft.com/office/spreadsheetml/2009/9/main" uri="{504A1905-F514-4f6f-8877-14C23A59335A}">
      <x14:table altTextSummary="Enter Projected and Actual Loan Costs in this table. Difference is auto calculated"/>
    </ext>
  </extLst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ransportation" displayName="Transportation" ref="B25:E33" totalsRowCount="1" headerRowCellStyle="Normal">
  <autoFilter ref="B25:E32" xr:uid="{00000000-0009-0000-0100-000004000000}">
    <filterColumn colId="0" hiddenButton="1"/>
    <filterColumn colId="1" hiddenButton="1"/>
    <filterColumn colId="2" hiddenButton="1"/>
    <filterColumn colId="3" hiddenButton="1"/>
  </autoFilter>
  <tableColumns count="4">
    <tableColumn id="1" xr3:uid="{00000000-0010-0000-0300-000001000000}" name="TRANSPORTATION" totalsRowLabel="Subtotal"/>
    <tableColumn id="2" xr3:uid="{00000000-0010-0000-0300-000002000000}" name="Projected Cost" dataDxfId="49" totalsRowDxfId="48"/>
    <tableColumn id="3" xr3:uid="{00000000-0010-0000-0300-000003000000}" name="Actual Cost" dataDxfId="47" totalsRowDxfId="46"/>
    <tableColumn id="4" xr3:uid="{00000000-0010-0000-0300-000004000000}" name="Difference" totalsRowFunction="sum" dataDxfId="45" totalsRowDxfId="44">
      <calculatedColumnFormula>Transportation[[#This Row],[Projected Cost]]-Transportation[[#This Row],[Actual Cost]]</calculatedColumnFormula>
    </tableColumn>
  </tableColumns>
  <tableStyleInfo name="Personal monthly budget" showFirstColumn="1" showLastColumn="1" showRowStripes="0" showColumnStripes="0"/>
  <extLst>
    <ext xmlns:x14="http://schemas.microsoft.com/office/spreadsheetml/2009/9/main" uri="{504A1905-F514-4f6f-8877-14C23A59335A}">
      <x14:table altTextSummary="Enter Projected and Actual Transportation Costs in this table. Difference is auto calculated"/>
    </ext>
  </extLst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Insurance" displayName="Insurance" ref="B35:E40" totalsRowCount="1" headerRowCellStyle="Normal">
  <autoFilter ref="B35:E39" xr:uid="{00000000-0009-0000-0100-000005000000}">
    <filterColumn colId="0" hiddenButton="1"/>
    <filterColumn colId="1" hiddenButton="1"/>
    <filterColumn colId="2" hiddenButton="1"/>
    <filterColumn colId="3" hiddenButton="1"/>
  </autoFilter>
  <tableColumns count="4">
    <tableColumn id="1" xr3:uid="{00000000-0010-0000-0400-000001000000}" name="INSURANCE" totalsRowLabel="Subtotal"/>
    <tableColumn id="2" xr3:uid="{00000000-0010-0000-0400-000002000000}" name="Projected Cost" dataDxfId="43" totalsRowDxfId="42"/>
    <tableColumn id="3" xr3:uid="{00000000-0010-0000-0400-000003000000}" name="Actual Cost" dataDxfId="41" totalsRowDxfId="40"/>
    <tableColumn id="4" xr3:uid="{00000000-0010-0000-0400-000004000000}" name="Difference" totalsRowFunction="sum" dataDxfId="39" totalsRowDxfId="38">
      <calculatedColumnFormula>Insurance[[#This Row],[Projected Cost]]-Insurance[[#This Row],[Actual Cost]]</calculatedColumnFormula>
    </tableColumn>
  </tableColumns>
  <tableStyleInfo name="Personal monthly budget" showFirstColumn="1" showLastColumn="1" showRowStripes="0" showColumnStripes="0"/>
  <extLst>
    <ext xmlns:x14="http://schemas.microsoft.com/office/spreadsheetml/2009/9/main" uri="{504A1905-F514-4f6f-8877-14C23A59335A}">
      <x14:table altTextSummary="Enter Projected and Actual Insurance Costs in this table. Difference is auto calculated"/>
    </ext>
  </extLst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xes" displayName="Taxes" ref="G33:J38" totalsRowCount="1" headerRowCellStyle="Normal">
  <autoFilter ref="G33:J37" xr:uid="{00000000-0009-0000-0100-000006000000}">
    <filterColumn colId="0" hiddenButton="1"/>
    <filterColumn colId="1" hiddenButton="1"/>
    <filterColumn colId="2" hiddenButton="1"/>
    <filterColumn colId="3" hiddenButton="1"/>
  </autoFilter>
  <tableColumns count="4">
    <tableColumn id="1" xr3:uid="{00000000-0010-0000-0500-000001000000}" name="TAXES" totalsRowLabel="Subtotal"/>
    <tableColumn id="2" xr3:uid="{00000000-0010-0000-0500-000002000000}" name="Projected Cost" dataDxfId="37" totalsRowDxfId="36"/>
    <tableColumn id="3" xr3:uid="{00000000-0010-0000-0500-000003000000}" name="Actual Cost" dataDxfId="35" totalsRowDxfId="34"/>
    <tableColumn id="4" xr3:uid="{00000000-0010-0000-0500-000004000000}" name="Difference" totalsRowFunction="sum" dataDxfId="33" totalsRowDxfId="32">
      <calculatedColumnFormula>Taxes[[#This Row],[Projected Cost]]-Taxes[[#This Row],[Actual Cost]]</calculatedColumnFormula>
    </tableColumn>
  </tableColumns>
  <tableStyleInfo name="Personal monthly budget" showFirstColumn="1" showLastColumn="1" showRowStripes="0" showColumnStripes="0"/>
  <extLst>
    <ext xmlns:x14="http://schemas.microsoft.com/office/spreadsheetml/2009/9/main" uri="{504A1905-F514-4f6f-8877-14C23A59335A}">
      <x14:table altTextSummary="Enter Projected and Actual Taxes Costs in this table. Difference is auto calculated"/>
    </ext>
  </extLst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Savings" displayName="Savings" ref="G40:J44" totalsRowCount="1" headerRowCellStyle="Normal">
  <autoFilter ref="G40:J43" xr:uid="{00000000-0009-0000-0100-000007000000}">
    <filterColumn colId="0" hiddenButton="1"/>
    <filterColumn colId="1" hiddenButton="1"/>
    <filterColumn colId="2" hiddenButton="1"/>
    <filterColumn colId="3" hiddenButton="1"/>
  </autoFilter>
  <tableColumns count="4">
    <tableColumn id="1" xr3:uid="{00000000-0010-0000-0600-000001000000}" name="SAVINGS OR INVESTMENTS" totalsRowLabel="Subtotal"/>
    <tableColumn id="2" xr3:uid="{00000000-0010-0000-0600-000002000000}" name="Projected Cost" dataDxfId="31" totalsRowDxfId="30"/>
    <tableColumn id="3" xr3:uid="{00000000-0010-0000-0600-000003000000}" name="Actual Cost" dataDxfId="29" totalsRowDxfId="28"/>
    <tableColumn id="4" xr3:uid="{00000000-0010-0000-0600-000004000000}" name="Difference" totalsRowFunction="sum" dataDxfId="27" totalsRowDxfId="26">
      <calculatedColumnFormula>Savings[[#This Row],[Projected Cost]]-Savings[[#This Row],[Actual Cost]]</calculatedColumnFormula>
    </tableColumn>
  </tableColumns>
  <tableStyleInfo name="Personal monthly budget" showFirstColumn="1" showLastColumn="1" showRowStripes="0" showColumnStripes="0"/>
  <extLst>
    <ext xmlns:x14="http://schemas.microsoft.com/office/spreadsheetml/2009/9/main" uri="{504A1905-F514-4f6f-8877-14C23A59335A}">
      <x14:table altTextSummary="Enter Projected and Actual Costs for Savings or Investments in this table. Difference is auto calculated"/>
    </ext>
  </extLst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Food" displayName="Food" ref="B42:E46" totalsRowCount="1" headerRowCellStyle="Normal">
  <autoFilter ref="B42:E45" xr:uid="{00000000-0009-0000-0100-000008000000}">
    <filterColumn colId="0" hiddenButton="1"/>
    <filterColumn colId="1" hiddenButton="1"/>
    <filterColumn colId="2" hiddenButton="1"/>
    <filterColumn colId="3" hiddenButton="1"/>
  </autoFilter>
  <tableColumns count="4">
    <tableColumn id="1" xr3:uid="{00000000-0010-0000-0700-000001000000}" name="FOOD" totalsRowLabel="Subtotal"/>
    <tableColumn id="2" xr3:uid="{00000000-0010-0000-0700-000002000000}" name="Projected Cost" dataDxfId="25" totalsRowDxfId="24"/>
    <tableColumn id="3" xr3:uid="{00000000-0010-0000-0700-000003000000}" name="Actual Cost" dataDxfId="23" totalsRowDxfId="22"/>
    <tableColumn id="4" xr3:uid="{00000000-0010-0000-0700-000004000000}" name="Difference" totalsRowFunction="sum" dataDxfId="21" totalsRowDxfId="20">
      <calculatedColumnFormula>Food[[#This Row],[Projected Cost]]-Food[[#This Row],[Actual Cost]]</calculatedColumnFormula>
    </tableColumn>
  </tableColumns>
  <tableStyleInfo name="Personal monthly budget" showFirstColumn="1" showLastColumn="1" showRowStripes="0" showColumnStripes="0"/>
  <extLst>
    <ext xmlns:x14="http://schemas.microsoft.com/office/spreadsheetml/2009/9/main" uri="{504A1905-F514-4f6f-8877-14C23A59335A}">
      <x14:table altTextSummary="Enter Projected and Actual Food Costs in this table. Difference is auto calculated"/>
    </ext>
  </extLst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Gifts" displayName="Gifts" ref="G46:J50" totalsRowCount="1" headerRowCellStyle="Normal">
  <autoFilter ref="G46:J49" xr:uid="{00000000-0009-0000-0100-000009000000}">
    <filterColumn colId="0" hiddenButton="1"/>
    <filterColumn colId="1" hiddenButton="1"/>
    <filterColumn colId="2" hiddenButton="1"/>
    <filterColumn colId="3" hiddenButton="1"/>
  </autoFilter>
  <tableColumns count="4">
    <tableColumn id="1" xr3:uid="{00000000-0010-0000-0800-000001000000}" name="GIFTS AND DONATIONS" totalsRowLabel="Subtotal"/>
    <tableColumn id="2" xr3:uid="{00000000-0010-0000-0800-000002000000}" name="Projected Cost" dataDxfId="19" totalsRowDxfId="18"/>
    <tableColumn id="3" xr3:uid="{00000000-0010-0000-0800-000003000000}" name="Actual Cost" dataDxfId="17" totalsRowDxfId="16"/>
    <tableColumn id="4" xr3:uid="{00000000-0010-0000-0800-000004000000}" name="Difference" totalsRowFunction="sum" dataDxfId="15" totalsRowDxfId="14">
      <calculatedColumnFormula>Gifts[[#This Row],[Projected Cost]]-Gifts[[#This Row],[Actual Cost]]</calculatedColumnFormula>
    </tableColumn>
  </tableColumns>
  <tableStyleInfo name="Personal monthly budget" showFirstColumn="1" showLastColumn="1" showRowStripes="0" showColumnStripes="0"/>
  <extLst>
    <ext xmlns:x14="http://schemas.microsoft.com/office/spreadsheetml/2009/9/main" uri="{504A1905-F514-4f6f-8877-14C23A59335A}">
      <x14:table altTextSummary="Enter Projected and Actual Costs for Gifts and Donations in this table. Difference is auto calculated"/>
    </ext>
  </extLst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Pets" displayName="Pets" ref="B48:E54" totalsRowCount="1">
  <autoFilter ref="B48:E53" xr:uid="{00000000-0009-0000-0100-00000A000000}">
    <filterColumn colId="0" hiddenButton="1"/>
    <filterColumn colId="1" hiddenButton="1"/>
    <filterColumn colId="2" hiddenButton="1"/>
    <filterColumn colId="3" hiddenButton="1"/>
  </autoFilter>
  <tableColumns count="4">
    <tableColumn id="1" xr3:uid="{00000000-0010-0000-0900-000001000000}" name="PETS" totalsRowLabel="Subtotal"/>
    <tableColumn id="2" xr3:uid="{00000000-0010-0000-0900-000002000000}" name="Projected Cost" dataDxfId="13" totalsRowDxfId="12"/>
    <tableColumn id="3" xr3:uid="{00000000-0010-0000-0900-000003000000}" name="Actual Cost" dataDxfId="11" totalsRowDxfId="10"/>
    <tableColumn id="4" xr3:uid="{00000000-0010-0000-0900-000004000000}" name="Difference" totalsRowFunction="sum" dataDxfId="9" totalsRowDxfId="8">
      <calculatedColumnFormula>Pets[[#This Row],[Projected Cost]]-Pets[[#This Row],[Actual Cost]]</calculatedColumnFormula>
    </tableColumn>
  </tableColumns>
  <tableStyleInfo name="Personal monthly budget" showFirstColumn="1" showLastColumn="1" showRowStripes="0" showColumnStripes="0"/>
  <extLst>
    <ext xmlns:x14="http://schemas.microsoft.com/office/spreadsheetml/2009/9/main" uri="{504A1905-F514-4f6f-8877-14C23A59335A}">
      <x14:table altTextSummary="Enter Projected and Actual Pets Costs in this table. Difference is auto calculated"/>
    </ext>
  </extLst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Legal" displayName="Legal" ref="G52:J57" totalsRowCount="1" headerRowCellStyle="Normal">
  <autoFilter ref="G52:J56" xr:uid="{00000000-0009-0000-0100-00000B000000}">
    <filterColumn colId="0" hiddenButton="1"/>
    <filterColumn colId="1" hiddenButton="1"/>
    <filterColumn colId="2" hiddenButton="1"/>
    <filterColumn colId="3" hiddenButton="1"/>
  </autoFilter>
  <tableColumns count="4">
    <tableColumn id="1" xr3:uid="{00000000-0010-0000-0A00-000001000000}" name="LEGAL" totalsRowLabel="Subtotal"/>
    <tableColumn id="2" xr3:uid="{00000000-0010-0000-0A00-000002000000}" name="Projected Cost" dataDxfId="7" totalsRowDxfId="6"/>
    <tableColumn id="3" xr3:uid="{00000000-0010-0000-0A00-000003000000}" name="Actual Cost" dataDxfId="5" totalsRowDxfId="4"/>
    <tableColumn id="4" xr3:uid="{00000000-0010-0000-0A00-000004000000}" name="Difference" totalsRowFunction="sum" dataDxfId="3" totalsRowDxfId="2">
      <calculatedColumnFormula>Legal[[#This Row],[Projected Cost]]-Legal[[#This Row],[Actual Cost]]</calculatedColumnFormula>
    </tableColumn>
  </tableColumns>
  <tableStyleInfo name="Personal monthly budget" showFirstColumn="1" showLastColumn="1" showRowStripes="0" showColumnStripes="0"/>
  <extLst>
    <ext xmlns:x14="http://schemas.microsoft.com/office/spreadsheetml/2009/9/main" uri="{504A1905-F514-4f6f-8877-14C23A59335A}">
      <x14:table altTextSummary="Enter Projected and Actual Legal Costs in this table. Difference is auto calculated"/>
    </ext>
  </extLst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PersonalCare" displayName="PersonalCare" ref="B56:E64" totalsRowCount="1">
  <autoFilter ref="B56:E63" xr:uid="{00000000-0009-0000-0100-00000C000000}">
    <filterColumn colId="0" hiddenButton="1"/>
    <filterColumn colId="1" hiddenButton="1"/>
    <filterColumn colId="2" hiddenButton="1"/>
    <filterColumn colId="3" hiddenButton="1"/>
  </autoFilter>
  <tableColumns count="4">
    <tableColumn id="1" xr3:uid="{00000000-0010-0000-0B00-000001000000}" name="PERSONAL CARE" totalsRowLabel="Subtotal"/>
    <tableColumn id="2" xr3:uid="{00000000-0010-0000-0B00-000002000000}" name="Projected Cost"/>
    <tableColumn id="3" xr3:uid="{00000000-0010-0000-0B00-000003000000}" name="Actual Cost"/>
    <tableColumn id="4" xr3:uid="{00000000-0010-0000-0B00-000004000000}" name="Difference" totalsRowFunction="sum">
      <calculatedColumnFormula>PersonalCare[[#This Row],[Projected Cost]]-PersonalCare[[#This Row],[Actual Cost]]</calculatedColumnFormula>
    </tableColumn>
  </tableColumns>
  <tableStyleInfo name="Personal monthly budget" showFirstColumn="1" showLastColumn="1" showRowStripes="0" showColumnStripes="0"/>
  <extLst>
    <ext xmlns:x14="http://schemas.microsoft.com/office/spreadsheetml/2009/9/main" uri="{504A1905-F514-4f6f-8877-14C23A59335A}">
      <x14:table altTextSummary="Enter Projected and Actual Personal Care Costs in this table. Difference is auto calculated"/>
    </ext>
  </extLst>
</table>
</file>

<file path=xl/theme/theme1.xml><?xml version="1.0" encoding="utf-8"?>
<a:theme xmlns:a="http://schemas.openxmlformats.org/drawingml/2006/main" name="WeightLossTracker">
  <a:themeElements>
    <a:clrScheme name="WeightLossTracker_color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7B0B8"/>
      </a:accent1>
      <a:accent2>
        <a:srgbClr val="FF6B6B"/>
      </a:accent2>
      <a:accent3>
        <a:srgbClr val="556270"/>
      </a:accent3>
      <a:accent4>
        <a:srgbClr val="81B63C"/>
      </a:accent4>
      <a:accent5>
        <a:srgbClr val="ED932C"/>
      </a:accent5>
      <a:accent6>
        <a:srgbClr val="A0729D"/>
      </a:accent6>
      <a:hlink>
        <a:srgbClr val="39ADDC"/>
      </a:hlink>
      <a:folHlink>
        <a:srgbClr val="895EA7"/>
      </a:folHlink>
    </a:clrScheme>
    <a:fontScheme name="Finance charge">
      <a:majorFont>
        <a:latin typeface="Century Gothic"/>
        <a:ea typeface=""/>
        <a:cs typeface=""/>
      </a:majorFont>
      <a:minorFont>
        <a:latin typeface="Calibri"/>
        <a:ea typeface=""/>
        <a:cs typeface=""/>
      </a:minorFont>
    </a:fontScheme>
    <a:fmtScheme name="Spring">
      <a:fillStyleLst>
        <a:solidFill>
          <a:schemeClr val="phClr"/>
        </a:solidFill>
        <a:gradFill rotWithShape="1">
          <a:gsLst>
            <a:gs pos="0">
              <a:schemeClr val="phClr">
                <a:tint val="70000"/>
                <a:lumMod val="110000"/>
              </a:schemeClr>
            </a:gs>
            <a:gs pos="100000">
              <a:schemeClr val="phClr">
                <a:tint val="100000"/>
                <a:shade val="85000"/>
                <a:lumMod val="80000"/>
              </a:schemeClr>
            </a:gs>
          </a:gsLst>
          <a:lin ang="5400000" scaled="1"/>
        </a:gradFill>
        <a:gradFill rotWithShape="1">
          <a:gsLst>
            <a:gs pos="0">
              <a:schemeClr val="phClr">
                <a:tint val="97000"/>
                <a:satMod val="100000"/>
                <a:lumMod val="110000"/>
              </a:schemeClr>
            </a:gs>
            <a:gs pos="100000">
              <a:schemeClr val="phClr">
                <a:shade val="85000"/>
                <a:lumMod val="80000"/>
              </a:schemeClr>
            </a:gs>
          </a:gsLst>
          <a:lin ang="5400000" scaled="0"/>
        </a:gradFill>
      </a:fillStyleLst>
      <a:lnStyleLst>
        <a:ln w="12700" cap="rnd" cmpd="sng" algn="ctr">
          <a:solidFill>
            <a:schemeClr val="phClr"/>
          </a:solidFill>
          <a:prstDash val="solid"/>
        </a:ln>
        <a:ln w="19050" cap="rnd" cmpd="sng" algn="ctr">
          <a:solidFill>
            <a:schemeClr val="phClr"/>
          </a:solidFill>
          <a:prstDash val="solid"/>
        </a:ln>
        <a:ln w="28575" cap="rnd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>
            <a:outerShdw blurRad="38100" dist="25400" dir="5400000" rotWithShape="0">
              <a:srgbClr val="000000">
                <a:alpha val="45000"/>
              </a:srgbClr>
            </a:outerShdw>
          </a:effectLst>
        </a:effectStyle>
        <a:effectStyle>
          <a:effectLst>
            <a:outerShdw blurRad="88900" dist="38100" dir="5400000" algn="ctr" rotWithShape="0">
              <a:srgbClr val="000000">
                <a:alpha val="65000"/>
              </a:srgbClr>
            </a:outerShdw>
          </a:effectLst>
          <a:scene3d>
            <a:camera prst="orthographicFront">
              <a:rot lat="0" lon="0" rev="0"/>
            </a:camera>
            <a:lightRig rig="threePt" dir="tl">
              <a:rot lat="0" lon="0" rev="5400000"/>
            </a:lightRig>
          </a:scene3d>
          <a:sp3d>
            <a:bevelT w="25400" h="381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100000"/>
                <a:shade val="100000"/>
                <a:hueMod val="100000"/>
                <a:satMod val="106000"/>
                <a:lumMod val="100000"/>
              </a:schemeClr>
            </a:gs>
            <a:gs pos="88000">
              <a:schemeClr val="phClr">
                <a:tint val="90000"/>
                <a:shade val="68000"/>
                <a:hueMod val="100000"/>
                <a:satMod val="114000"/>
                <a:lumMod val="74000"/>
              </a:schemeClr>
            </a:gs>
          </a:gsLst>
          <a:lin ang="5400000" scaled="1"/>
        </a:gradFill>
        <a:gradFill rotWithShape="1">
          <a:gsLst>
            <a:gs pos="0">
              <a:schemeClr val="phClr">
                <a:tint val="94000"/>
                <a:shade val="100000"/>
                <a:hueMod val="100000"/>
                <a:satMod val="118000"/>
                <a:lumMod val="100000"/>
              </a:schemeClr>
            </a:gs>
            <a:gs pos="100000">
              <a:schemeClr val="phClr">
                <a:tint val="98000"/>
                <a:shade val="68000"/>
                <a:hueMod val="100000"/>
                <a:satMod val="118000"/>
                <a:lumMod val="82000"/>
              </a:schemeClr>
            </a:gs>
          </a:gsLst>
          <a:path path="circle">
            <a:fillToRect l="50000" t="50000" r="100000" b="10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table" Target="../tables/table7.xml"/><Relationship Id="rId13" Type="http://schemas.openxmlformats.org/officeDocument/2006/relationships/table" Target="../tables/table12.xml"/><Relationship Id="rId3" Type="http://schemas.openxmlformats.org/officeDocument/2006/relationships/table" Target="../tables/table2.xml"/><Relationship Id="rId7" Type="http://schemas.openxmlformats.org/officeDocument/2006/relationships/table" Target="../tables/table6.xml"/><Relationship Id="rId12" Type="http://schemas.openxmlformats.org/officeDocument/2006/relationships/table" Target="../tables/table11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Relationship Id="rId6" Type="http://schemas.openxmlformats.org/officeDocument/2006/relationships/table" Target="../tables/table5.xml"/><Relationship Id="rId11" Type="http://schemas.openxmlformats.org/officeDocument/2006/relationships/table" Target="../tables/table10.xml"/><Relationship Id="rId5" Type="http://schemas.openxmlformats.org/officeDocument/2006/relationships/table" Target="../tables/table4.xml"/><Relationship Id="rId10" Type="http://schemas.openxmlformats.org/officeDocument/2006/relationships/table" Target="../tables/table9.xml"/><Relationship Id="rId4" Type="http://schemas.openxmlformats.org/officeDocument/2006/relationships/table" Target="../tables/table3.xml"/><Relationship Id="rId9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8CF256-A10A-4A5C-8FB4-95F27AB5BFA3}">
  <sheetPr>
    <tabColor theme="9" tint="-0.499984740745262"/>
  </sheetPr>
  <dimension ref="B1:B7"/>
  <sheetViews>
    <sheetView showGridLines="0" workbookViewId="0"/>
  </sheetViews>
  <sheetFormatPr defaultRowHeight="13.15" x14ac:dyDescent="0.4"/>
  <cols>
    <col min="1" max="1" width="2.640625" customWidth="1"/>
    <col min="2" max="2" width="80.640625" customWidth="1"/>
    <col min="3" max="3" width="2.640625" customWidth="1"/>
  </cols>
  <sheetData>
    <row r="1" spans="2:2" s="13" customFormat="1" ht="30" customHeight="1" x14ac:dyDescent="0.4">
      <c r="B1" s="12" t="s">
        <v>80</v>
      </c>
    </row>
    <row r="2" spans="2:2" ht="30" customHeight="1" x14ac:dyDescent="0.4">
      <c r="B2" s="8" t="s">
        <v>93</v>
      </c>
    </row>
    <row r="3" spans="2:2" ht="30" customHeight="1" x14ac:dyDescent="0.4">
      <c r="B3" s="8" t="s">
        <v>76</v>
      </c>
    </row>
    <row r="4" spans="2:2" ht="30" customHeight="1" x14ac:dyDescent="0.4">
      <c r="B4" s="8" t="s">
        <v>94</v>
      </c>
    </row>
    <row r="5" spans="2:2" ht="30" customHeight="1" x14ac:dyDescent="0.4">
      <c r="B5" s="9" t="s">
        <v>77</v>
      </c>
    </row>
    <row r="6" spans="2:2" ht="45.75" customHeight="1" x14ac:dyDescent="0.4">
      <c r="B6" s="8" t="s">
        <v>78</v>
      </c>
    </row>
    <row r="7" spans="2:2" ht="36.75" customHeight="1" x14ac:dyDescent="0.4">
      <c r="B7" s="8" t="s">
        <v>79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4"/>
    <pageSetUpPr autoPageBreaks="0" fitToPage="1"/>
  </sheetPr>
  <dimension ref="A1:J65"/>
  <sheetViews>
    <sheetView showGridLines="0" tabSelected="1" topLeftCell="A35" workbookViewId="0"/>
  </sheetViews>
  <sheetFormatPr defaultRowHeight="13.15" x14ac:dyDescent="0.4"/>
  <cols>
    <col min="1" max="1" width="2.640625" style="11" customWidth="1"/>
    <col min="2" max="2" width="19.5703125" customWidth="1"/>
    <col min="3" max="3" width="16" customWidth="1"/>
    <col min="4" max="4" width="13" customWidth="1"/>
    <col min="5" max="5" width="12.5703125" customWidth="1"/>
    <col min="6" max="6" width="2.640625" customWidth="1"/>
    <col min="7" max="7" width="27.140625" customWidth="1"/>
    <col min="8" max="8" width="16" customWidth="1"/>
    <col min="9" max="9" width="13" customWidth="1"/>
    <col min="10" max="10" width="12.5703125" customWidth="1"/>
    <col min="11" max="11" width="2.640625" customWidth="1"/>
  </cols>
  <sheetData>
    <row r="1" spans="1:10" s="2" customFormat="1" ht="14.25" x14ac:dyDescent="0.45">
      <c r="A1" s="10" t="s">
        <v>81</v>
      </c>
    </row>
    <row r="2" spans="1:10" s="2" customFormat="1" ht="28.9" thickBot="1" x14ac:dyDescent="0.8">
      <c r="A2" s="10" t="s">
        <v>82</v>
      </c>
      <c r="B2" s="1" t="s">
        <v>72</v>
      </c>
      <c r="C2" s="1"/>
      <c r="D2" s="1"/>
      <c r="E2" s="1"/>
      <c r="F2" s="1"/>
      <c r="G2" s="1"/>
      <c r="H2" s="1"/>
      <c r="I2" s="1"/>
      <c r="J2" s="1"/>
    </row>
    <row r="4" spans="1:10" ht="13.5" x14ac:dyDescent="0.4">
      <c r="A4" s="11" t="s">
        <v>83</v>
      </c>
      <c r="B4" s="19" t="s">
        <v>0</v>
      </c>
      <c r="C4" s="17" t="s">
        <v>1</v>
      </c>
      <c r="D4" s="18"/>
      <c r="E4" s="5">
        <v>4300</v>
      </c>
      <c r="G4" s="22" t="s">
        <v>73</v>
      </c>
      <c r="H4" s="23"/>
      <c r="I4" s="23"/>
      <c r="J4" s="16">
        <f>E6-J59</f>
        <v>3405</v>
      </c>
    </row>
    <row r="5" spans="1:10" ht="13.5" x14ac:dyDescent="0.4">
      <c r="B5" s="20"/>
      <c r="C5" s="17" t="s">
        <v>2</v>
      </c>
      <c r="D5" s="18"/>
      <c r="E5" s="6">
        <v>300</v>
      </c>
      <c r="G5" s="23"/>
      <c r="H5" s="23"/>
      <c r="I5" s="23"/>
      <c r="J5" s="16"/>
    </row>
    <row r="6" spans="1:10" x14ac:dyDescent="0.4">
      <c r="A6" s="11" t="s">
        <v>84</v>
      </c>
      <c r="B6" s="21"/>
      <c r="C6" s="17" t="s">
        <v>3</v>
      </c>
      <c r="D6" s="18"/>
      <c r="E6" s="7">
        <f>SUM(E4:E5)</f>
        <v>4600</v>
      </c>
      <c r="G6" s="22" t="s">
        <v>74</v>
      </c>
      <c r="H6" s="23"/>
      <c r="I6" s="23"/>
      <c r="J6" s="16">
        <f>E10-J61</f>
        <v>3064</v>
      </c>
    </row>
    <row r="7" spans="1:10" ht="13.5" x14ac:dyDescent="0.4">
      <c r="B7" s="4"/>
      <c r="C7" s="4"/>
      <c r="D7" s="4"/>
      <c r="E7" s="4"/>
      <c r="G7" s="23"/>
      <c r="H7" s="23"/>
      <c r="I7" s="23"/>
      <c r="J7" s="16"/>
    </row>
    <row r="8" spans="1:10" ht="13.5" x14ac:dyDescent="0.4">
      <c r="A8" s="11" t="s">
        <v>85</v>
      </c>
      <c r="B8" s="19" t="s">
        <v>4</v>
      </c>
      <c r="C8" s="17" t="s">
        <v>1</v>
      </c>
      <c r="D8" s="18"/>
      <c r="E8" s="5">
        <v>4000</v>
      </c>
      <c r="G8" s="22" t="s">
        <v>75</v>
      </c>
      <c r="H8" s="23"/>
      <c r="I8" s="23"/>
      <c r="J8" s="16">
        <f>J6-J4</f>
        <v>-341</v>
      </c>
    </row>
    <row r="9" spans="1:10" ht="13.5" x14ac:dyDescent="0.4">
      <c r="B9" s="20"/>
      <c r="C9" s="17" t="s">
        <v>2</v>
      </c>
      <c r="D9" s="18"/>
      <c r="E9" s="6">
        <v>300</v>
      </c>
      <c r="G9" s="23"/>
      <c r="H9" s="23"/>
      <c r="I9" s="23"/>
      <c r="J9" s="16"/>
    </row>
    <row r="10" spans="1:10" x14ac:dyDescent="0.4">
      <c r="B10" s="21"/>
      <c r="C10" s="17" t="s">
        <v>3</v>
      </c>
      <c r="D10" s="18"/>
      <c r="E10" s="7">
        <f>SUM(E8:E9)</f>
        <v>4300</v>
      </c>
    </row>
    <row r="12" spans="1:10" x14ac:dyDescent="0.4">
      <c r="A12" s="11" t="s">
        <v>86</v>
      </c>
      <c r="B12" t="s">
        <v>5</v>
      </c>
      <c r="C12" t="s">
        <v>6</v>
      </c>
      <c r="D12" t="s">
        <v>7</v>
      </c>
      <c r="E12" t="s">
        <v>8</v>
      </c>
      <c r="G12" t="s">
        <v>9</v>
      </c>
      <c r="H12" t="s">
        <v>6</v>
      </c>
      <c r="I12" t="s">
        <v>7</v>
      </c>
      <c r="J12" t="s">
        <v>8</v>
      </c>
    </row>
    <row r="13" spans="1:10" x14ac:dyDescent="0.4">
      <c r="B13" t="s">
        <v>10</v>
      </c>
      <c r="C13" s="3">
        <v>1000</v>
      </c>
      <c r="D13" s="3">
        <v>1000</v>
      </c>
      <c r="E13" s="3">
        <f>Housing[[#This Row],[Projected Cost]]-Housing[[#This Row],[Actual Cost]]</f>
        <v>0</v>
      </c>
      <c r="G13" t="s">
        <v>95</v>
      </c>
      <c r="H13" s="3"/>
      <c r="I13" s="3"/>
      <c r="J13" s="3">
        <f>Entertainment[[#This Row],[Projected Cost]]-Entertainment[[#This Row],[Actual Cost]]</f>
        <v>0</v>
      </c>
    </row>
    <row r="14" spans="1:10" x14ac:dyDescent="0.4">
      <c r="B14" t="s">
        <v>11</v>
      </c>
      <c r="C14" s="3">
        <v>54</v>
      </c>
      <c r="D14" s="3">
        <v>100</v>
      </c>
      <c r="E14" s="3">
        <f>Housing[[#This Row],[Projected Cost]]-Housing[[#This Row],[Actual Cost]]</f>
        <v>-46</v>
      </c>
      <c r="G14" t="s">
        <v>96</v>
      </c>
      <c r="H14" s="3"/>
      <c r="I14" s="3"/>
      <c r="J14" s="3">
        <f>Entertainment[[#This Row],[Projected Cost]]-Entertainment[[#This Row],[Actual Cost]]</f>
        <v>0</v>
      </c>
    </row>
    <row r="15" spans="1:10" x14ac:dyDescent="0.4">
      <c r="B15" t="s">
        <v>12</v>
      </c>
      <c r="C15" s="3">
        <v>44</v>
      </c>
      <c r="D15" s="3">
        <v>56</v>
      </c>
      <c r="E15" s="3">
        <f>Housing[[#This Row],[Projected Cost]]-Housing[[#This Row],[Actual Cost]]</f>
        <v>-12</v>
      </c>
      <c r="G15" t="s">
        <v>13</v>
      </c>
      <c r="H15" s="3"/>
      <c r="I15" s="3"/>
      <c r="J15" s="3">
        <f>Entertainment[[#This Row],[Projected Cost]]-Entertainment[[#This Row],[Actual Cost]]</f>
        <v>0</v>
      </c>
    </row>
    <row r="16" spans="1:10" x14ac:dyDescent="0.4">
      <c r="B16" t="s">
        <v>14</v>
      </c>
      <c r="C16" s="3">
        <v>22</v>
      </c>
      <c r="D16" s="3">
        <v>28</v>
      </c>
      <c r="E16" s="3">
        <f>Housing[[#This Row],[Projected Cost]]-Housing[[#This Row],[Actual Cost]]</f>
        <v>-6</v>
      </c>
      <c r="G16" t="s">
        <v>15</v>
      </c>
      <c r="H16" s="3"/>
      <c r="I16" s="3"/>
      <c r="J16" s="3">
        <f>Entertainment[[#This Row],[Projected Cost]]-Entertainment[[#This Row],[Actual Cost]]</f>
        <v>0</v>
      </c>
    </row>
    <row r="17" spans="1:10" x14ac:dyDescent="0.4">
      <c r="B17" t="s">
        <v>16</v>
      </c>
      <c r="C17" s="3">
        <v>8</v>
      </c>
      <c r="D17" s="3">
        <v>8</v>
      </c>
      <c r="E17" s="3">
        <f>Housing[[#This Row],[Projected Cost]]-Housing[[#This Row],[Actual Cost]]</f>
        <v>0</v>
      </c>
      <c r="G17" t="s">
        <v>17</v>
      </c>
      <c r="H17" s="3"/>
      <c r="I17" s="3"/>
      <c r="J17" s="3">
        <f>Entertainment[[#This Row],[Projected Cost]]-Entertainment[[#This Row],[Actual Cost]]</f>
        <v>0</v>
      </c>
    </row>
    <row r="18" spans="1:10" x14ac:dyDescent="0.4">
      <c r="B18" t="s">
        <v>18</v>
      </c>
      <c r="C18" s="3">
        <v>34</v>
      </c>
      <c r="D18" s="3">
        <v>34</v>
      </c>
      <c r="E18" s="3">
        <f>Housing[[#This Row],[Projected Cost]]-Housing[[#This Row],[Actual Cost]]</f>
        <v>0</v>
      </c>
      <c r="G18" t="s">
        <v>19</v>
      </c>
      <c r="H18" s="3"/>
      <c r="I18" s="3"/>
      <c r="J18" s="3">
        <f>Entertainment[[#This Row],[Projected Cost]]-Entertainment[[#This Row],[Actual Cost]]</f>
        <v>0</v>
      </c>
    </row>
    <row r="19" spans="1:10" x14ac:dyDescent="0.4">
      <c r="B19" t="s">
        <v>20</v>
      </c>
      <c r="C19" s="3">
        <v>10</v>
      </c>
      <c r="D19" s="3">
        <v>10</v>
      </c>
      <c r="E19" s="3">
        <f>Housing[[#This Row],[Projected Cost]]-Housing[[#This Row],[Actual Cost]]</f>
        <v>0</v>
      </c>
      <c r="G19" t="s">
        <v>21</v>
      </c>
      <c r="H19" s="3"/>
      <c r="I19" s="3"/>
      <c r="J19" s="3">
        <f>Entertainment[[#This Row],[Projected Cost]]-Entertainment[[#This Row],[Actual Cost]]</f>
        <v>0</v>
      </c>
    </row>
    <row r="20" spans="1:10" x14ac:dyDescent="0.4">
      <c r="B20" t="s">
        <v>22</v>
      </c>
      <c r="C20" s="3">
        <v>23</v>
      </c>
      <c r="D20" s="3">
        <v>0</v>
      </c>
      <c r="E20" s="3">
        <f>Housing[[#This Row],[Projected Cost]]-Housing[[#This Row],[Actual Cost]]</f>
        <v>23</v>
      </c>
      <c r="G20" t="s">
        <v>21</v>
      </c>
      <c r="H20" s="3"/>
      <c r="I20" s="3"/>
      <c r="J20" s="3">
        <f>Entertainment[[#This Row],[Projected Cost]]-Entertainment[[#This Row],[Actual Cost]]</f>
        <v>0</v>
      </c>
    </row>
    <row r="21" spans="1:10" x14ac:dyDescent="0.4">
      <c r="B21" t="s">
        <v>23</v>
      </c>
      <c r="C21" s="3">
        <v>0</v>
      </c>
      <c r="D21" s="3">
        <v>0</v>
      </c>
      <c r="E21" s="3">
        <f>Housing[[#This Row],[Projected Cost]]-Housing[[#This Row],[Actual Cost]]</f>
        <v>0</v>
      </c>
      <c r="G21" t="s">
        <v>21</v>
      </c>
      <c r="H21" s="3"/>
      <c r="I21" s="3"/>
      <c r="J21" s="3">
        <f>Entertainment[[#This Row],[Projected Cost]]-Entertainment[[#This Row],[Actual Cost]]</f>
        <v>0</v>
      </c>
    </row>
    <row r="22" spans="1:10" x14ac:dyDescent="0.4">
      <c r="B22" t="s">
        <v>21</v>
      </c>
      <c r="C22" s="3">
        <v>0</v>
      </c>
      <c r="D22" s="3">
        <v>0</v>
      </c>
      <c r="E22" s="3">
        <f>Housing[[#This Row],[Projected Cost]]-Housing[[#This Row],[Actual Cost]]</f>
        <v>0</v>
      </c>
      <c r="G22" t="s">
        <v>71</v>
      </c>
      <c r="H22" s="3"/>
      <c r="I22" s="3"/>
      <c r="J22" s="3">
        <f>SUBTOTAL(109,Entertainment[Difference])</f>
        <v>0</v>
      </c>
    </row>
    <row r="23" spans="1:10" x14ac:dyDescent="0.4">
      <c r="B23" t="s">
        <v>71</v>
      </c>
      <c r="C23" s="3"/>
      <c r="D23" s="3"/>
      <c r="E23" s="3">
        <f>SUBTOTAL(109,Housing[Difference])</f>
        <v>-41</v>
      </c>
      <c r="G23" s="14"/>
      <c r="H23" s="14"/>
      <c r="I23" s="14"/>
      <c r="J23" s="14"/>
    </row>
    <row r="24" spans="1:10" x14ac:dyDescent="0.4">
      <c r="B24" s="14"/>
      <c r="C24" s="14"/>
      <c r="D24" s="14"/>
      <c r="E24" s="14"/>
      <c r="G24" t="s">
        <v>24</v>
      </c>
      <c r="H24" t="s">
        <v>6</v>
      </c>
      <c r="I24" t="s">
        <v>7</v>
      </c>
      <c r="J24" t="s">
        <v>8</v>
      </c>
    </row>
    <row r="25" spans="1:10" x14ac:dyDescent="0.4">
      <c r="A25" s="11" t="s">
        <v>87</v>
      </c>
      <c r="B25" t="s">
        <v>25</v>
      </c>
      <c r="C25" t="s">
        <v>6</v>
      </c>
      <c r="D25" t="s">
        <v>7</v>
      </c>
      <c r="E25" t="s">
        <v>8</v>
      </c>
      <c r="G25" t="s">
        <v>26</v>
      </c>
      <c r="H25" s="3"/>
      <c r="I25" s="3"/>
      <c r="J25" s="3">
        <f>Loans[[#This Row],[Projected Cost]]-Loans[[#This Row],[Actual Cost]]</f>
        <v>0</v>
      </c>
    </row>
    <row r="26" spans="1:10" x14ac:dyDescent="0.4">
      <c r="B26" t="s">
        <v>27</v>
      </c>
      <c r="C26" s="3"/>
      <c r="D26" s="3"/>
      <c r="E26" s="3">
        <f>Transportation[[#This Row],[Projected Cost]]-Transportation[[#This Row],[Actual Cost]]</f>
        <v>0</v>
      </c>
      <c r="G26" t="s">
        <v>28</v>
      </c>
      <c r="H26" s="3"/>
      <c r="I26" s="3"/>
      <c r="J26" s="3">
        <f>Loans[[#This Row],[Projected Cost]]-Loans[[#This Row],[Actual Cost]]</f>
        <v>0</v>
      </c>
    </row>
    <row r="27" spans="1:10" x14ac:dyDescent="0.4">
      <c r="B27" t="s">
        <v>29</v>
      </c>
      <c r="C27" s="3"/>
      <c r="D27" s="3"/>
      <c r="E27" s="3">
        <f>Transportation[[#This Row],[Projected Cost]]-Transportation[[#This Row],[Actual Cost]]</f>
        <v>0</v>
      </c>
      <c r="G27" t="s">
        <v>30</v>
      </c>
      <c r="H27" s="3"/>
      <c r="I27" s="3"/>
      <c r="J27" s="3">
        <f>Loans[[#This Row],[Projected Cost]]-Loans[[#This Row],[Actual Cost]]</f>
        <v>0</v>
      </c>
    </row>
    <row r="28" spans="1:10" x14ac:dyDescent="0.4">
      <c r="B28" t="s">
        <v>31</v>
      </c>
      <c r="C28" s="3"/>
      <c r="D28" s="3"/>
      <c r="E28" s="3">
        <f>Transportation[[#This Row],[Projected Cost]]-Transportation[[#This Row],[Actual Cost]]</f>
        <v>0</v>
      </c>
      <c r="G28" t="s">
        <v>30</v>
      </c>
      <c r="H28" s="3"/>
      <c r="I28" s="3"/>
      <c r="J28" s="3">
        <f>Loans[[#This Row],[Projected Cost]]-Loans[[#This Row],[Actual Cost]]</f>
        <v>0</v>
      </c>
    </row>
    <row r="29" spans="1:10" x14ac:dyDescent="0.4">
      <c r="B29" t="s">
        <v>32</v>
      </c>
      <c r="C29" s="3"/>
      <c r="D29" s="3"/>
      <c r="E29" s="3">
        <f>Transportation[[#This Row],[Projected Cost]]-Transportation[[#This Row],[Actual Cost]]</f>
        <v>0</v>
      </c>
      <c r="G29" t="s">
        <v>30</v>
      </c>
      <c r="H29" s="3"/>
      <c r="I29" s="3"/>
      <c r="J29" s="3">
        <f>Loans[[#This Row],[Projected Cost]]-Loans[[#This Row],[Actual Cost]]</f>
        <v>0</v>
      </c>
    </row>
    <row r="30" spans="1:10" x14ac:dyDescent="0.4">
      <c r="B30" t="s">
        <v>33</v>
      </c>
      <c r="C30" s="3"/>
      <c r="D30" s="3"/>
      <c r="E30" s="3">
        <f>Transportation[[#This Row],[Projected Cost]]-Transportation[[#This Row],[Actual Cost]]</f>
        <v>0</v>
      </c>
      <c r="G30" t="s">
        <v>21</v>
      </c>
      <c r="H30" s="3"/>
      <c r="I30" s="3"/>
      <c r="J30" s="3">
        <f>Loans[[#This Row],[Projected Cost]]-Loans[[#This Row],[Actual Cost]]</f>
        <v>0</v>
      </c>
    </row>
    <row r="31" spans="1:10" x14ac:dyDescent="0.4">
      <c r="B31" t="s">
        <v>34</v>
      </c>
      <c r="C31" s="3"/>
      <c r="D31" s="3"/>
      <c r="E31" s="3">
        <f>Transportation[[#This Row],[Projected Cost]]-Transportation[[#This Row],[Actual Cost]]</f>
        <v>0</v>
      </c>
      <c r="G31" t="s">
        <v>71</v>
      </c>
      <c r="H31" s="3"/>
      <c r="I31" s="3"/>
      <c r="J31" s="3">
        <f>SUBTOTAL(109,Loans[Difference])</f>
        <v>0</v>
      </c>
    </row>
    <row r="32" spans="1:10" x14ac:dyDescent="0.4">
      <c r="B32" t="s">
        <v>21</v>
      </c>
      <c r="C32" s="3"/>
      <c r="D32" s="3"/>
      <c r="E32" s="3">
        <f>Transportation[[#This Row],[Projected Cost]]-Transportation[[#This Row],[Actual Cost]]</f>
        <v>0</v>
      </c>
      <c r="G32" s="14"/>
      <c r="H32" s="14"/>
      <c r="I32" s="14"/>
      <c r="J32" s="14"/>
    </row>
    <row r="33" spans="1:10" x14ac:dyDescent="0.4">
      <c r="B33" t="s">
        <v>71</v>
      </c>
      <c r="C33" s="3"/>
      <c r="D33" s="3"/>
      <c r="E33" s="3">
        <f>SUBTOTAL(109,Transportation[Difference])</f>
        <v>0</v>
      </c>
      <c r="G33" t="s">
        <v>35</v>
      </c>
      <c r="H33" t="s">
        <v>6</v>
      </c>
      <c r="I33" t="s">
        <v>7</v>
      </c>
      <c r="J33" t="s">
        <v>8</v>
      </c>
    </row>
    <row r="34" spans="1:10" x14ac:dyDescent="0.4">
      <c r="B34" s="14"/>
      <c r="C34" s="14"/>
      <c r="D34" s="14"/>
      <c r="E34" s="14"/>
      <c r="G34" t="s">
        <v>36</v>
      </c>
      <c r="H34" s="3"/>
      <c r="I34" s="3"/>
      <c r="J34" s="3">
        <f>Taxes[[#This Row],[Projected Cost]]-Taxes[[#This Row],[Actual Cost]]</f>
        <v>0</v>
      </c>
    </row>
    <row r="35" spans="1:10" x14ac:dyDescent="0.4">
      <c r="A35" s="11" t="s">
        <v>88</v>
      </c>
      <c r="B35" t="s">
        <v>37</v>
      </c>
      <c r="C35" t="s">
        <v>6</v>
      </c>
      <c r="D35" t="s">
        <v>7</v>
      </c>
      <c r="E35" t="s">
        <v>8</v>
      </c>
      <c r="G35" t="s">
        <v>38</v>
      </c>
      <c r="H35" s="3"/>
      <c r="I35" s="3"/>
      <c r="J35" s="3">
        <f>Taxes[[#This Row],[Projected Cost]]-Taxes[[#This Row],[Actual Cost]]</f>
        <v>0</v>
      </c>
    </row>
    <row r="36" spans="1:10" x14ac:dyDescent="0.4">
      <c r="B36" t="s">
        <v>39</v>
      </c>
      <c r="C36" s="3"/>
      <c r="D36" s="3"/>
      <c r="E36" s="3">
        <f>Insurance[[#This Row],[Projected Cost]]-Insurance[[#This Row],[Actual Cost]]</f>
        <v>0</v>
      </c>
      <c r="G36" t="s">
        <v>40</v>
      </c>
      <c r="H36" s="3"/>
      <c r="I36" s="3"/>
      <c r="J36" s="3">
        <f>Taxes[[#This Row],[Projected Cost]]-Taxes[[#This Row],[Actual Cost]]</f>
        <v>0</v>
      </c>
    </row>
    <row r="37" spans="1:10" x14ac:dyDescent="0.4">
      <c r="B37" t="s">
        <v>41</v>
      </c>
      <c r="C37" s="3"/>
      <c r="D37" s="3"/>
      <c r="E37" s="3">
        <f>Insurance[[#This Row],[Projected Cost]]-Insurance[[#This Row],[Actual Cost]]</f>
        <v>0</v>
      </c>
      <c r="G37" t="s">
        <v>21</v>
      </c>
      <c r="H37" s="3"/>
      <c r="I37" s="3"/>
      <c r="J37" s="3">
        <f>Taxes[[#This Row],[Projected Cost]]-Taxes[[#This Row],[Actual Cost]]</f>
        <v>0</v>
      </c>
    </row>
    <row r="38" spans="1:10" x14ac:dyDescent="0.4">
      <c r="B38" t="s">
        <v>42</v>
      </c>
      <c r="C38" s="3"/>
      <c r="D38" s="3"/>
      <c r="E38" s="3">
        <f>Insurance[[#This Row],[Projected Cost]]-Insurance[[#This Row],[Actual Cost]]</f>
        <v>0</v>
      </c>
      <c r="G38" t="s">
        <v>71</v>
      </c>
      <c r="H38" s="3"/>
      <c r="I38" s="3"/>
      <c r="J38" s="3">
        <f>SUBTOTAL(109,Taxes[Difference])</f>
        <v>0</v>
      </c>
    </row>
    <row r="39" spans="1:10" x14ac:dyDescent="0.4">
      <c r="B39" t="s">
        <v>21</v>
      </c>
      <c r="C39" s="3"/>
      <c r="D39" s="3"/>
      <c r="E39" s="3">
        <f>Insurance[[#This Row],[Projected Cost]]-Insurance[[#This Row],[Actual Cost]]</f>
        <v>0</v>
      </c>
      <c r="G39" s="14"/>
      <c r="H39" s="14"/>
      <c r="I39" s="14"/>
      <c r="J39" s="14"/>
    </row>
    <row r="40" spans="1:10" x14ac:dyDescent="0.4">
      <c r="B40" t="s">
        <v>71</v>
      </c>
      <c r="C40" s="3"/>
      <c r="D40" s="3"/>
      <c r="E40" s="3">
        <f>SUBTOTAL(109,Insurance[Difference])</f>
        <v>0</v>
      </c>
      <c r="G40" t="s">
        <v>43</v>
      </c>
      <c r="H40" t="s">
        <v>6</v>
      </c>
      <c r="I40" t="s">
        <v>7</v>
      </c>
      <c r="J40" t="s">
        <v>8</v>
      </c>
    </row>
    <row r="41" spans="1:10" x14ac:dyDescent="0.4">
      <c r="B41" s="14"/>
      <c r="C41" s="14"/>
      <c r="D41" s="14"/>
      <c r="E41" s="14"/>
      <c r="G41" t="s">
        <v>44</v>
      </c>
      <c r="H41" s="3"/>
      <c r="I41" s="3"/>
      <c r="J41" s="3">
        <f>Savings[[#This Row],[Projected Cost]]-Savings[[#This Row],[Actual Cost]]</f>
        <v>0</v>
      </c>
    </row>
    <row r="42" spans="1:10" x14ac:dyDescent="0.4">
      <c r="A42" s="11" t="s">
        <v>89</v>
      </c>
      <c r="B42" t="s">
        <v>45</v>
      </c>
      <c r="C42" t="s">
        <v>6</v>
      </c>
      <c r="D42" t="s">
        <v>7</v>
      </c>
      <c r="E42" t="s">
        <v>8</v>
      </c>
      <c r="G42" t="s">
        <v>46</v>
      </c>
      <c r="H42" s="3"/>
      <c r="I42" s="3"/>
      <c r="J42" s="3">
        <f>Savings[[#This Row],[Projected Cost]]-Savings[[#This Row],[Actual Cost]]</f>
        <v>0</v>
      </c>
    </row>
    <row r="43" spans="1:10" x14ac:dyDescent="0.4">
      <c r="B43" t="s">
        <v>47</v>
      </c>
      <c r="C43" s="3"/>
      <c r="D43" s="3"/>
      <c r="E43" s="3">
        <f>Food[[#This Row],[Projected Cost]]-Food[[#This Row],[Actual Cost]]</f>
        <v>0</v>
      </c>
      <c r="G43" t="s">
        <v>21</v>
      </c>
      <c r="H43" s="3"/>
      <c r="I43" s="3"/>
      <c r="J43" s="3">
        <f>Savings[[#This Row],[Projected Cost]]-Savings[[#This Row],[Actual Cost]]</f>
        <v>0</v>
      </c>
    </row>
    <row r="44" spans="1:10" x14ac:dyDescent="0.4">
      <c r="B44" t="s">
        <v>48</v>
      </c>
      <c r="C44" s="3"/>
      <c r="D44" s="3"/>
      <c r="E44" s="3">
        <f>Food[[#This Row],[Projected Cost]]-Food[[#This Row],[Actual Cost]]</f>
        <v>0</v>
      </c>
      <c r="G44" t="s">
        <v>71</v>
      </c>
      <c r="H44" s="3"/>
      <c r="I44" s="3"/>
      <c r="J44" s="3">
        <f>SUBTOTAL(109,Savings[Difference])</f>
        <v>0</v>
      </c>
    </row>
    <row r="45" spans="1:10" x14ac:dyDescent="0.4">
      <c r="B45" t="s">
        <v>21</v>
      </c>
      <c r="C45" s="3"/>
      <c r="D45" s="3"/>
      <c r="E45" s="3">
        <f>Food[[#This Row],[Projected Cost]]-Food[[#This Row],[Actual Cost]]</f>
        <v>0</v>
      </c>
      <c r="G45" s="14"/>
      <c r="H45" s="14"/>
      <c r="I45" s="14"/>
      <c r="J45" s="14"/>
    </row>
    <row r="46" spans="1:10" x14ac:dyDescent="0.4">
      <c r="B46" t="s">
        <v>71</v>
      </c>
      <c r="C46" s="3"/>
      <c r="D46" s="3"/>
      <c r="E46" s="3">
        <f>SUBTOTAL(109,Food[Difference])</f>
        <v>0</v>
      </c>
      <c r="G46" t="s">
        <v>49</v>
      </c>
      <c r="H46" t="s">
        <v>6</v>
      </c>
      <c r="I46" t="s">
        <v>7</v>
      </c>
      <c r="J46" t="s">
        <v>8</v>
      </c>
    </row>
    <row r="47" spans="1:10" x14ac:dyDescent="0.4">
      <c r="B47" s="14"/>
      <c r="C47" s="14"/>
      <c r="D47" s="14"/>
      <c r="E47" s="14"/>
      <c r="G47" t="s">
        <v>50</v>
      </c>
      <c r="H47" s="3"/>
      <c r="I47" s="3"/>
      <c r="J47" s="3">
        <f>Gifts[[#This Row],[Projected Cost]]-Gifts[[#This Row],[Actual Cost]]</f>
        <v>0</v>
      </c>
    </row>
    <row r="48" spans="1:10" x14ac:dyDescent="0.4">
      <c r="A48" s="11" t="s">
        <v>90</v>
      </c>
      <c r="B48" t="s">
        <v>51</v>
      </c>
      <c r="C48" t="s">
        <v>6</v>
      </c>
      <c r="D48" t="s">
        <v>7</v>
      </c>
      <c r="E48" t="s">
        <v>8</v>
      </c>
      <c r="G48" t="s">
        <v>52</v>
      </c>
      <c r="H48" s="3"/>
      <c r="I48" s="3"/>
      <c r="J48" s="3">
        <f>Gifts[[#This Row],[Projected Cost]]-Gifts[[#This Row],[Actual Cost]]</f>
        <v>0</v>
      </c>
    </row>
    <row r="49" spans="1:10" x14ac:dyDescent="0.4">
      <c r="B49" t="s">
        <v>53</v>
      </c>
      <c r="C49" s="3"/>
      <c r="D49" s="3"/>
      <c r="E49" s="3">
        <f>Pets[[#This Row],[Projected Cost]]-Pets[[#This Row],[Actual Cost]]</f>
        <v>0</v>
      </c>
      <c r="G49" t="s">
        <v>54</v>
      </c>
      <c r="H49" s="3"/>
      <c r="I49" s="3"/>
      <c r="J49" s="3">
        <f>Gifts[[#This Row],[Projected Cost]]-Gifts[[#This Row],[Actual Cost]]</f>
        <v>0</v>
      </c>
    </row>
    <row r="50" spans="1:10" x14ac:dyDescent="0.4">
      <c r="B50" t="s">
        <v>55</v>
      </c>
      <c r="C50" s="3"/>
      <c r="D50" s="3"/>
      <c r="E50" s="3">
        <f>Pets[[#This Row],[Projected Cost]]-Pets[[#This Row],[Actual Cost]]</f>
        <v>0</v>
      </c>
      <c r="G50" t="s">
        <v>71</v>
      </c>
      <c r="H50" s="3"/>
      <c r="I50" s="3"/>
      <c r="J50" s="3">
        <f>SUBTOTAL(109,Gifts[Difference])</f>
        <v>0</v>
      </c>
    </row>
    <row r="51" spans="1:10" x14ac:dyDescent="0.4">
      <c r="B51" t="s">
        <v>56</v>
      </c>
      <c r="C51" s="3"/>
      <c r="D51" s="3"/>
      <c r="E51" s="3">
        <f>Pets[[#This Row],[Projected Cost]]-Pets[[#This Row],[Actual Cost]]</f>
        <v>0</v>
      </c>
      <c r="G51" s="14"/>
      <c r="H51" s="14"/>
      <c r="I51" s="14"/>
      <c r="J51" s="14"/>
    </row>
    <row r="52" spans="1:10" x14ac:dyDescent="0.4">
      <c r="B52" t="s">
        <v>57</v>
      </c>
      <c r="C52" s="3"/>
      <c r="D52" s="3"/>
      <c r="E52" s="3">
        <f>Pets[[#This Row],[Projected Cost]]-Pets[[#This Row],[Actual Cost]]</f>
        <v>0</v>
      </c>
      <c r="G52" t="s">
        <v>58</v>
      </c>
      <c r="H52" t="s">
        <v>6</v>
      </c>
      <c r="I52" t="s">
        <v>7</v>
      </c>
      <c r="J52" t="s">
        <v>8</v>
      </c>
    </row>
    <row r="53" spans="1:10" x14ac:dyDescent="0.4">
      <c r="B53" t="s">
        <v>21</v>
      </c>
      <c r="C53" s="3"/>
      <c r="D53" s="3"/>
      <c r="E53" s="3">
        <f>Pets[[#This Row],[Projected Cost]]-Pets[[#This Row],[Actual Cost]]</f>
        <v>0</v>
      </c>
      <c r="G53" t="s">
        <v>59</v>
      </c>
      <c r="H53" s="3"/>
      <c r="I53" s="3"/>
      <c r="J53" s="3">
        <f>Legal[[#This Row],[Projected Cost]]-Legal[[#This Row],[Actual Cost]]</f>
        <v>0</v>
      </c>
    </row>
    <row r="54" spans="1:10" x14ac:dyDescent="0.4">
      <c r="B54" t="s">
        <v>71</v>
      </c>
      <c r="C54" s="3"/>
      <c r="D54" s="3"/>
      <c r="E54" s="3">
        <f>SUBTOTAL(109,Pets[Difference])</f>
        <v>0</v>
      </c>
      <c r="G54" t="s">
        <v>60</v>
      </c>
      <c r="H54" s="3"/>
      <c r="I54" s="3"/>
      <c r="J54" s="3">
        <f>Legal[[#This Row],[Projected Cost]]-Legal[[#This Row],[Actual Cost]]</f>
        <v>0</v>
      </c>
    </row>
    <row r="55" spans="1:10" x14ac:dyDescent="0.4">
      <c r="B55" s="14"/>
      <c r="C55" s="14"/>
      <c r="D55" s="14"/>
      <c r="E55" s="14"/>
      <c r="G55" t="s">
        <v>61</v>
      </c>
      <c r="H55" s="3"/>
      <c r="I55" s="3"/>
      <c r="J55" s="3">
        <f>Legal[[#This Row],[Projected Cost]]-Legal[[#This Row],[Actual Cost]]</f>
        <v>0</v>
      </c>
    </row>
    <row r="56" spans="1:10" x14ac:dyDescent="0.4">
      <c r="A56" s="11" t="s">
        <v>91</v>
      </c>
      <c r="B56" t="s">
        <v>62</v>
      </c>
      <c r="C56" t="s">
        <v>6</v>
      </c>
      <c r="D56" t="s">
        <v>7</v>
      </c>
      <c r="E56" t="s">
        <v>8</v>
      </c>
      <c r="G56" t="s">
        <v>21</v>
      </c>
      <c r="H56" s="3"/>
      <c r="I56" s="3"/>
      <c r="J56" s="3">
        <f>Legal[[#This Row],[Projected Cost]]-Legal[[#This Row],[Actual Cost]]</f>
        <v>0</v>
      </c>
    </row>
    <row r="57" spans="1:10" x14ac:dyDescent="0.4">
      <c r="B57" t="s">
        <v>55</v>
      </c>
      <c r="C57" s="3"/>
      <c r="D57" s="3"/>
      <c r="E57" s="3">
        <f>PersonalCare[[#This Row],[Projected Cost]]-PersonalCare[[#This Row],[Actual Cost]]</f>
        <v>0</v>
      </c>
      <c r="G57" t="s">
        <v>71</v>
      </c>
      <c r="H57" s="3"/>
      <c r="I57" s="3"/>
      <c r="J57" s="3">
        <f>SUBTOTAL(109,Legal[Difference])</f>
        <v>0</v>
      </c>
    </row>
    <row r="58" spans="1:10" x14ac:dyDescent="0.4">
      <c r="B58" t="s">
        <v>63</v>
      </c>
      <c r="C58" s="3"/>
      <c r="D58" s="3"/>
      <c r="E58" s="3">
        <f>PersonalCare[[#This Row],[Projected Cost]]-PersonalCare[[#This Row],[Actual Cost]]</f>
        <v>0</v>
      </c>
      <c r="G58" s="14"/>
      <c r="H58" s="14"/>
      <c r="I58" s="14"/>
      <c r="J58" s="14"/>
    </row>
    <row r="59" spans="1:10" x14ac:dyDescent="0.4">
      <c r="A59" s="11" t="s">
        <v>92</v>
      </c>
      <c r="B59" t="s">
        <v>64</v>
      </c>
      <c r="C59" s="3"/>
      <c r="D59" s="3"/>
      <c r="E59" s="3">
        <f>PersonalCare[[#This Row],[Projected Cost]]-PersonalCare[[#This Row],[Actual Cost]]</f>
        <v>0</v>
      </c>
      <c r="G59" s="15" t="s">
        <v>65</v>
      </c>
      <c r="H59" s="15"/>
      <c r="I59" s="15"/>
      <c r="J59" s="16">
        <f>SUBTOTAL(109,Housing[Projected Cost],Transportation[Projected Cost],Insurance[Projected Cost],Food[Projected Cost],Pets[Projected Cost],PersonalCare[Projected Cost],Entertainment[Projected Cost],Loans[Projected Cost],Taxes[Projected Cost],Savings[Projected Cost],Gifts[Projected Cost],Legal[Projected Cost])</f>
        <v>1195</v>
      </c>
    </row>
    <row r="60" spans="1:10" x14ac:dyDescent="0.4">
      <c r="B60" t="s">
        <v>66</v>
      </c>
      <c r="C60" s="3"/>
      <c r="D60" s="3"/>
      <c r="E60" s="3">
        <f>PersonalCare[[#This Row],[Projected Cost]]-PersonalCare[[#This Row],[Actual Cost]]</f>
        <v>0</v>
      </c>
      <c r="G60" s="15"/>
      <c r="H60" s="15"/>
      <c r="I60" s="15"/>
      <c r="J60" s="16"/>
    </row>
    <row r="61" spans="1:10" x14ac:dyDescent="0.4">
      <c r="B61" t="s">
        <v>67</v>
      </c>
      <c r="C61" s="3"/>
      <c r="D61" s="3"/>
      <c r="E61" s="3">
        <f>PersonalCare[[#This Row],[Projected Cost]]-PersonalCare[[#This Row],[Actual Cost]]</f>
        <v>0</v>
      </c>
      <c r="G61" s="15" t="s">
        <v>68</v>
      </c>
      <c r="H61" s="15"/>
      <c r="I61" s="15"/>
      <c r="J61" s="16">
        <f>SUBTOTAL(109,Housing[Actual Cost],Transportation[Actual Cost],Insurance[Actual Cost],Food[Actual Cost],Pets[Actual Cost],PersonalCare[Actual Cost],Entertainment[Actual Cost],Loans[Actual Cost],Taxes[Actual Cost],Savings[Actual Cost],Gifts[Actual Cost],Legal[Actual Cost])</f>
        <v>1236</v>
      </c>
    </row>
    <row r="62" spans="1:10" x14ac:dyDescent="0.4">
      <c r="B62" t="s">
        <v>69</v>
      </c>
      <c r="C62" s="3"/>
      <c r="D62" s="3"/>
      <c r="E62" s="3">
        <f>PersonalCare[[#This Row],[Projected Cost]]-PersonalCare[[#This Row],[Actual Cost]]</f>
        <v>0</v>
      </c>
      <c r="G62" s="15"/>
      <c r="H62" s="15"/>
      <c r="I62" s="15"/>
      <c r="J62" s="16"/>
    </row>
    <row r="63" spans="1:10" x14ac:dyDescent="0.4">
      <c r="B63" t="s">
        <v>21</v>
      </c>
      <c r="C63" s="3"/>
      <c r="D63" s="3"/>
      <c r="E63" s="3">
        <f>PersonalCare[[#This Row],[Projected Cost]]-PersonalCare[[#This Row],[Actual Cost]]</f>
        <v>0</v>
      </c>
      <c r="G63" s="15" t="s">
        <v>70</v>
      </c>
      <c r="H63" s="15"/>
      <c r="I63" s="15"/>
      <c r="J63" s="16">
        <f>J59-J61</f>
        <v>-41</v>
      </c>
    </row>
    <row r="64" spans="1:10" x14ac:dyDescent="0.4">
      <c r="B64" t="s">
        <v>71</v>
      </c>
      <c r="C64" s="3"/>
      <c r="D64" s="3"/>
      <c r="E64" s="3">
        <f>SUBTOTAL(109,PersonalCare[Difference])</f>
        <v>0</v>
      </c>
      <c r="G64" s="15"/>
      <c r="H64" s="15"/>
      <c r="I64" s="15"/>
      <c r="J64" s="16"/>
    </row>
    <row r="65" spans="2:5" x14ac:dyDescent="0.4">
      <c r="B65" s="14"/>
      <c r="C65" s="14"/>
      <c r="D65" s="14"/>
      <c r="E65" s="14"/>
    </row>
  </sheetData>
  <mergeCells count="20">
    <mergeCell ref="B8:B10"/>
    <mergeCell ref="B4:B6"/>
    <mergeCell ref="G8:I9"/>
    <mergeCell ref="G6:I7"/>
    <mergeCell ref="G4:I5"/>
    <mergeCell ref="C10:D10"/>
    <mergeCell ref="C9:D9"/>
    <mergeCell ref="C8:D8"/>
    <mergeCell ref="C6:D6"/>
    <mergeCell ref="C5:D5"/>
    <mergeCell ref="J8:J9"/>
    <mergeCell ref="J6:J7"/>
    <mergeCell ref="J4:J5"/>
    <mergeCell ref="G59:I60"/>
    <mergeCell ref="C4:D4"/>
    <mergeCell ref="G63:I64"/>
    <mergeCell ref="J63:J64"/>
    <mergeCell ref="J59:J60"/>
    <mergeCell ref="J61:J62"/>
    <mergeCell ref="G61:I62"/>
  </mergeCells>
  <conditionalFormatting sqref="J8:J9">
    <cfRule type="cellIs" dxfId="1" priority="2" operator="lessThan">
      <formula>0</formula>
    </cfRule>
  </conditionalFormatting>
  <conditionalFormatting sqref="J63:J64">
    <cfRule type="cellIs" dxfId="0" priority="1" operator="lessThan">
      <formula>0</formula>
    </cfRule>
  </conditionalFormatting>
  <printOptions horizontalCentered="1"/>
  <pageMargins left="0.4" right="0.4" top="0.4" bottom="0.4" header="0.3" footer="0.3"/>
  <pageSetup scale="81" fitToHeight="0" orientation="portrait" r:id="rId1"/>
  <headerFooter differentFirst="1">
    <oddFooter>Page &amp;P of &amp;N</oddFooter>
  </headerFooter>
  <ignoredErrors>
    <ignoredError sqref="J13:J21 E26:E32 J25:J30 J34:J37 E36:E39 E43:E45 J41:J43 J47:J49 J53:J56 J59:J62 E57:E63 E49:E53" emptyCellReference="1"/>
  </ignoredErrors>
  <tableParts count="12"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ip_UnifiedCompliancePolicyUIAction xmlns="http://schemas.microsoft.com/sharepoint/v3" xsi:nil="true"/>
    <Image xmlns="71af3243-3dd4-4a8d-8c0d-dd76da1f02a5">
      <Url xsi:nil="true"/>
      <Description xsi:nil="true"/>
    </Image>
    <Status xmlns="71af3243-3dd4-4a8d-8c0d-dd76da1f02a5">Not started</Status>
    <Background xmlns="71af3243-3dd4-4a8d-8c0d-dd76da1f02a5">false</Background>
    <_ip_UnifiedCompliancePolicyProperties xmlns="http://schemas.microsoft.com/sharepoint/v3" xsi:nil="true"/>
    <ImageTagsTaxHTField xmlns="71af3243-3dd4-4a8d-8c0d-dd76da1f02a5">
      <Terms xmlns="http://schemas.microsoft.com/office/infopath/2007/PartnerControls"/>
    </ImageTagsTaxHTField>
    <TaxCatchAll xmlns="230e9df3-be65-4c73-a93b-d1236ebd677e" xsi:nil="true"/>
    <MediaServiceKeyPoints xmlns="71af3243-3dd4-4a8d-8c0d-dd76da1f02a5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9F111ED35F8CC479449609E8A0923A6" ma:contentTypeVersion="26" ma:contentTypeDescription="Create a new document." ma:contentTypeScope="" ma:versionID="ac37c1753acd5e330d2062ccec26ea66">
  <xsd:schema xmlns:xsd="http://www.w3.org/2001/XMLSchema" xmlns:xs="http://www.w3.org/2001/XMLSchema" xmlns:p="http://schemas.microsoft.com/office/2006/metadata/properties" xmlns:ns1="http://schemas.microsoft.com/sharepoint/v3" xmlns:ns2="71af3243-3dd4-4a8d-8c0d-dd76da1f02a5" xmlns:ns3="16c05727-aa75-4e4a-9b5f-8a80a1165891" xmlns:ns4="230e9df3-be65-4c73-a93b-d1236ebd677e" targetNamespace="http://schemas.microsoft.com/office/2006/metadata/properties" ma:root="true" ma:fieldsID="3b340c7101c92c5120abd06486f94548" ns1:_="" ns2:_="" ns3:_="" ns4:_="">
    <xsd:import namespace="http://schemas.microsoft.com/sharepoint/v3"/>
    <xsd:import namespace="71af3243-3dd4-4a8d-8c0d-dd76da1f02a5"/>
    <xsd:import namespace="16c05727-aa75-4e4a-9b5f-8a80a1165891"/>
    <xsd:import namespace="230e9df3-be65-4c73-a93b-d1236ebd677e"/>
    <xsd:element name="properties">
      <xsd:complexType>
        <xsd:sequence>
          <xsd:element name="documentManagement">
            <xsd:complexType>
              <xsd:all>
                <xsd:element ref="ns2:Status" minOccurs="0"/>
                <xsd:element ref="ns2:Image" minOccurs="0"/>
                <xsd:element ref="ns2:MediaServiceMetadata" minOccurs="0"/>
                <xsd:element ref="ns2:MediaServiceFastMetadata" minOccurs="0"/>
                <xsd:element ref="ns2:MediaServiceOCR" minOccurs="0"/>
                <xsd:element ref="ns2:MediaServiceAutoTags" minOccurs="0"/>
                <xsd:element ref="ns2:MediaServiceEventHashCode" minOccurs="0"/>
                <xsd:element ref="ns2:MediaServiceGenerationTime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ServiceDateTaken" minOccurs="0"/>
                <xsd:element ref="ns1:_ip_UnifiedCompliancePolicyProperties" minOccurs="0"/>
                <xsd:element ref="ns1:_ip_UnifiedCompliancePolicyUIAction" minOccurs="0"/>
                <xsd:element ref="ns4:TaxCatchAll" minOccurs="0"/>
                <xsd:element ref="ns2:ImageTagsTaxHTField" minOccurs="0"/>
                <xsd:element ref="ns2:MediaServiceLocation" minOccurs="0"/>
                <xsd:element ref="ns2:MediaLengthInSeconds" minOccurs="0"/>
                <xsd:element ref="ns2:Background" minOccurs="0"/>
                <xsd:element ref="ns2:MediaServiceSearchProperties" minOccurs="0"/>
                <xsd:element ref="ns2:MediaServiceDocTag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20" nillable="true" ma:displayName="Unified Compliance Policy Properties" ma:hidden="true" ma:internalName="_ip_UnifiedCompliancePolicyProperties" ma:readOnly="false">
      <xsd:simpleType>
        <xsd:restriction base="dms:Note"/>
      </xsd:simpleType>
    </xsd:element>
    <xsd:element name="_ip_UnifiedCompliancePolicyUIAction" ma:index="21" nillable="true" ma:displayName="Unified Compliance Policy UI Action" ma:hidden="true" ma:internalName="_ip_UnifiedCompliancePolicyUIAction" ma:readOnly="fals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1af3243-3dd4-4a8d-8c0d-dd76da1f02a5" elementFormDefault="qualified">
    <xsd:import namespace="http://schemas.microsoft.com/office/2006/documentManagement/types"/>
    <xsd:import namespace="http://schemas.microsoft.com/office/infopath/2007/PartnerControls"/>
    <xsd:element name="Status" ma:index="2" nillable="true" ma:displayName="Status" ma:default="Not started" ma:format="Dropdown" ma:internalName="Status" ma:readOnly="false">
      <xsd:simpleType>
        <xsd:restriction base="dms:Choice">
          <xsd:enumeration value="Not started"/>
          <xsd:enumeration value="In Progress"/>
          <xsd:enumeration value="Completed"/>
        </xsd:restriction>
      </xsd:simpleType>
    </xsd:element>
    <xsd:element name="Image" ma:index="3" nillable="true" ma:displayName="Image" ma:format="Image" ma:internalName="Image" ma:readOnly="fals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CR" ma:index="10" nillable="true" ma:displayName="MediaServiceOCR" ma:hidden="true" ma:internalName="MediaServiceOCR" ma:readOnly="true">
      <xsd:simpleType>
        <xsd:restriction base="dms:Note"/>
      </xsd:simpleType>
    </xsd:element>
    <xsd:element name="MediaServiceAutoTags" ma:index="11" nillable="true" ma:displayName="MediaServiceAutoTags" ma:hidden="true" ma:internalName="MediaServiceAutoTags" ma:readOnly="true">
      <xsd:simpleType>
        <xsd:restriction base="dms:Text"/>
      </xsd:simpleType>
    </xsd:element>
    <xsd:element name="MediaServiceEventHashCode" ma:index="12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AutoKeyPoints" ma:index="16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7" nillable="true" ma:displayName="KeyPoints" ma:hidden="true" ma:internalName="MediaServiceKeyPoints" ma:readOnly="false">
      <xsd:simpleType>
        <xsd:restriction base="dms:Note"/>
      </xsd:simpleType>
    </xsd:element>
    <xsd:element name="MediaServiceDateTaken" ma:index="18" nillable="true" ma:displayName="MediaServiceDateTaken" ma:hidden="true" ma:internalName="MediaServiceDateTaken" ma:readOnly="true">
      <xsd:simpleType>
        <xsd:restriction base="dms:Text"/>
      </xsd:simpleType>
    </xsd:element>
    <xsd:element name="ImageTagsTaxHTField" ma:index="25" nillable="true" ma:taxonomy="true" ma:internalName="ImageTagsTaxHTField" ma:taxonomyFieldName="MediaServiceImageTags" ma:displayName="Image Tags" ma:readOnly="false" ma:fieldId="{5cf76f15-5ced-4ddc-b409-7134ff3c332f}" ma:taxonomyMulti="true" ma:sspId="e385fb40-52d4-4fae-9c5b-3e8ff8a5878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Location" ma:index="26" nillable="true" ma:displayName="Location" ma:hidden="true" ma:internalName="MediaServiceLocation" ma:readOnly="true">
      <xsd:simpleType>
        <xsd:restriction base="dms:Text"/>
      </xsd:simpleType>
    </xsd:element>
    <xsd:element name="MediaLengthInSeconds" ma:index="27" nillable="true" ma:displayName="MediaLengthInSeconds" ma:hidden="true" ma:internalName="MediaLengthInSeconds" ma:readOnly="true">
      <xsd:simpleType>
        <xsd:restriction base="dms:Unknown"/>
      </xsd:simpleType>
    </xsd:element>
    <xsd:element name="Background" ma:index="28" nillable="true" ma:displayName="Background" ma:default="0" ma:format="Dropdown" ma:internalName="Background">
      <xsd:simpleType>
        <xsd:restriction base="dms:Boolean"/>
      </xsd:simpleType>
    </xsd:element>
    <xsd:element name="MediaServiceSearchProperties" ma:index="2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ocTags" ma:index="30" nillable="true" ma:displayName="MediaServiceDocTags" ma:hidden="true" ma:internalName="MediaServiceDocTag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6c05727-aa75-4e4a-9b5f-8a80a1165891" elementFormDefault="qualified">
    <xsd:import namespace="http://schemas.microsoft.com/office/2006/documentManagement/types"/>
    <xsd:import namespace="http://schemas.microsoft.com/office/infopath/2007/PartnerControls"/>
    <xsd:element name="SharedWithUsers" ma:index="14" nillable="true" ma:displayName="Shared With" ma:hidden="true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5" nillable="true" ma:displayName="Shared With Details" ma:hidden="true" ma:internalName="SharedWithDetail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30e9df3-be65-4c73-a93b-d1236ebd677e" elementFormDefault="qualified">
    <xsd:import namespace="http://schemas.microsoft.com/office/2006/documentManagement/types"/>
    <xsd:import namespace="http://schemas.microsoft.com/office/infopath/2007/PartnerControls"/>
    <xsd:element name="TaxCatchAll" ma:index="23" nillable="true" ma:displayName="Taxonomy Catch All Column" ma:hidden="true" ma:list="{3f6bfcbc-3db3-4ae6-bd76-326f0798ad28}" ma:internalName="TaxCatchAll" ma:readOnly="false" ma:showField="CatchAllData" ma:web="16c05727-aa75-4e4a-9b5f-8a80a116589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displayName="Content Type"/>
        <xsd:element ref="dc:title" minOccurs="0" maxOccurs="1" ma:index="1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D4E279B-303C-4A52-8818-2636CC859189}">
  <ds:schemaRefs>
    <ds:schemaRef ds:uri="http://schemas.microsoft.com/office/2006/metadata/properties"/>
    <ds:schemaRef ds:uri="http://schemas.microsoft.com/office/infopath/2007/PartnerControls"/>
    <ds:schemaRef ds:uri="http://schemas.microsoft.com/sharepoint/v3"/>
    <ds:schemaRef ds:uri="71af3243-3dd4-4a8d-8c0d-dd76da1f02a5"/>
    <ds:schemaRef ds:uri="230e9df3-be65-4c73-a93b-d1236ebd677e"/>
  </ds:schemaRefs>
</ds:datastoreItem>
</file>

<file path=customXml/itemProps2.xml><?xml version="1.0" encoding="utf-8"?>
<ds:datastoreItem xmlns:ds="http://schemas.openxmlformats.org/officeDocument/2006/customXml" ds:itemID="{95EC540C-C9B8-4D0B-8D06-F712534BA372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273C8A10-4641-47B6-85C4-8BA8A198582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microsoft.com/sharepoint/v3"/>
    <ds:schemaRef ds:uri="71af3243-3dd4-4a8d-8c0d-dd76da1f02a5"/>
    <ds:schemaRef ds:uri="16c05727-aa75-4e4a-9b5f-8a80a1165891"/>
    <ds:schemaRef ds:uri="230e9df3-be65-4c73-a93b-d1236ebd677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>TM04101071</Templat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START</vt:lpstr>
      <vt:lpstr>PERSONAL MONTHLY BUDGET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2022-11-06T05:44:32Z</dcterms:created>
  <dcterms:modified xsi:type="dcterms:W3CDTF">2026-06-10T04:02:35Z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0x01010079F111ED35F8CC479449609E8A0923A6</vt:lpwstr>
  </property>
</Properties>
</file>